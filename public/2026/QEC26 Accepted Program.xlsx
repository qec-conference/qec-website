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5"/>
    <sheet state="visible" name="Schedule"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tc={a3448056-d7f9-4741-a81c-04ffd93e05bd}</author>
  </authors>
  <commentList>
    <comment authorId="0" xr:uid="{a3448056-d7f9-4741-a81c-04ffd93e05bd}" ref="C17">
      <text>
        <t xml:space="preserve">[Threaded comment]
 Your version of Excel allows you to read this threaded comment; however, any edits to it will get removed if the file is opened in a newer version of Excel. Learn more: https://go.microsoft.com/fwlink/?linkid=870924
Comment:
	it feels like these talks shouldnt be in a slot where a lot of people would miss them :/
thoughts on switching the prev two talks and these two? or maybe even the first two talks of the day
</t>
      </text>
    </comment>
  </commentList>
</comments>
</file>

<file path=xl/sharedStrings.xml><?xml version="1.0" encoding="utf-8"?>
<sst xmlns="http://schemas.openxmlformats.org/spreadsheetml/2006/main" count="353" uniqueCount="191">
  <si>
    <t>#</t>
  </si>
  <si>
    <t>Authors</t>
  </si>
  <si>
    <t>Title</t>
  </si>
  <si>
    <t>Decision</t>
  </si>
  <si>
    <t>CATEGORY</t>
  </si>
  <si>
    <t>COUNT ON SCHEDULE</t>
  </si>
  <si>
    <t>CATEGORIES</t>
  </si>
  <si>
    <t>TALK TYPES</t>
  </si>
  <si>
    <t>7</t>
  </si>
  <si>
    <t>Lucas English, Sam Roberts, Stephen Bartlett, Andrew
Doherty and Dominic Williamson</t>
  </si>
  <si>
    <t>Ising on the donut: Regimes of topological quantum error
correction from statistical mechanics</t>
  </si>
  <si>
    <t>ACCEPT</t>
  </si>
  <si>
    <t>COND MAT</t>
  </si>
  <si>
    <t>PRAC DECODER</t>
  </si>
  <si>
    <t>RC ACCEPT</t>
  </si>
  <si>
    <t>108</t>
  </si>
  <si>
    <t>Dominic Williamson</t>
  </si>
  <si>
    <t xml:space="preserve">Partial Self-Correction in Layer Codes </t>
  </si>
  <si>
    <t>SIMULATION</t>
  </si>
  <si>
    <t>147</t>
  </si>
  <si>
    <t>Naren Manjunath, Vieri Mattei, Apoorv Tiwari and Tyler
Ellison</t>
  </si>
  <si>
    <t>Universal quantum computation with group surface codes</t>
  </si>
  <si>
    <t>EXP</t>
  </si>
  <si>
    <t>ACCEPT AS MERGED TALK</t>
  </si>
  <si>
    <t>53</t>
  </si>
  <si>
    <t>Anasuya Lyons and Benjamin J. Brown</t>
  </si>
  <si>
    <t>Quantum computing with anyons is fault-tolerant</t>
  </si>
  <si>
    <t>CONSTRUCTION</t>
  </si>
  <si>
    <t>QLDPC</t>
  </si>
  <si>
    <t>59</t>
  </si>
  <si>
    <t>Lily Wang, Andy Liu, Ray Li, Aleksander Kubica and Shouzhen
Gu</t>
  </si>
  <si>
    <t>Check-weight-constrained quantum codes: Bounds and examples</t>
  </si>
  <si>
    <t>MAGIC EXP</t>
  </si>
  <si>
    <t>TOTAL</t>
  </si>
  <si>
    <t>126</t>
  </si>
  <si>
    <t>Patrick Birchall, Jacob Bridgeman, Chris Dawson, Terry
Farrelly, Ye-Hua Liu, Naomi Nickerson, Mihir Pant, Sam
Roberts, Karthik Seetharam and David Tuckett</t>
  </si>
  <si>
    <t>Macromux: scalable postselection for high-threshold
fault-tolerant quantum computation</t>
  </si>
  <si>
    <t>MAGIC</t>
  </si>
  <si>
    <t>200</t>
  </si>
  <si>
    <t>Oscar Higgott, Hasan Sayginel, Matt McEwen, Craig Gidney,
Lei Zhang, Francisco Heras and Johannes Bausch</t>
  </si>
  <si>
    <t>Over 10x Denser Fault Tolerance using Boundary-Connected
Modules</t>
  </si>
  <si>
    <t>217</t>
  </si>
  <si>
    <t>Yunzhe Zheng, Rui Chao, Aleksander Kubica and Adam Paetznick</t>
  </si>
  <si>
    <t>Fault-Tolerant Quantum Computation with Merged Color Codes</t>
  </si>
  <si>
    <t>LOG GATES</t>
  </si>
  <si>
    <t>15</t>
  </si>
  <si>
    <t>Volodymyr Sivak</t>
  </si>
  <si>
    <t>Reinforcement Learning Control of Quantum Error Correction</t>
  </si>
  <si>
    <t>116</t>
  </si>
  <si>
    <t>Seok-Hyung Lee, Xanda Kolesnikow, Jun Zen Chen, Evan
Hockings, Campbell McLauchlan, Georgia Nixon, Tom Scruby,
Stephen Bartlett, Robin Harper and Ben Brown</t>
  </si>
  <si>
    <t>Scalable quantum error correction tailored for a heavy-hex
qubit array</t>
  </si>
  <si>
    <t>THY DECODER</t>
  </si>
  <si>
    <t>151</t>
  </si>
  <si>
    <t>Aharon Brodutch, Evan Dobbs, Gregory Baimetov, Edwin Tham
and Nicolas Delfosse</t>
  </si>
  <si>
    <t>Advantage in distributed quantum computing with slow
interconnects, and experiments on a monolithic QPU</t>
  </si>
  <si>
    <t>179</t>
  </si>
  <si>
    <t>Shival Dasu, Matt DeCross, Andrew Guo, Ali Lavasani, Jan
Behrends, Asmae Benhemou, Yi-Hsiang Chen, Karl Mayer, Chris
N. Self, Selwyn Simsek, Basudha Srivastava, M. S. Allman,
Jake Arkinstall, Justin G. Bohnet, Nathaniel Q. Burdick,
J.P. Campora III, Alex Chernoguzov, Samuel F. Cooper,
Robert D. Delaney, Joan M. Dreiling, Brian Estey, Caroline
Figgatt, Cameron Foltz, John P. Gaebler, Alex Hall, Craig
A. Holliman, Ali A. Husain, Akhil Isanaka, Colin J.
Kennedy, Yuga Kodama, Nikhil Kotibhaskar, Nathan K. Lysne,
Ivaylo S. Madjarov, Michael Mills, Alistair R. Milne, Brian
Neyenhuis, Annie J. Park, Anthony Ransford, Adam P. Reed,
Steven J. Sanders, Charles H. Baldwin, David Hayes, Ben
Criger, Andrew Potter and David Amaro</t>
  </si>
  <si>
    <t>Computing with many encoded logical qubits beyond break-even</t>
  </si>
  <si>
    <t>10</t>
  </si>
  <si>
    <t>Ryohei Kobayashi, Guanyu Zhu, Po-Shen Hsin, Alison Warman
and Sakura Schafer-Nameki</t>
  </si>
  <si>
    <t>Transversal Gates at Arbitrary Levels of the Clifford
Hierarchy in 2D Topological Codes</t>
  </si>
  <si>
    <t>MERGE</t>
  </si>
  <si>
    <t>26</t>
  </si>
  <si>
    <t>Aranya Chakraborty and Daniel Gottesman</t>
  </si>
  <si>
    <t>No-Go Theorem on Fault Tolerant Gadgets for Multiple
Logical Qubits</t>
  </si>
  <si>
    <t>104</t>
  </si>
  <si>
    <t>Qian Xu, Harry Zhou, Dolev Bluvstein, Madelyn Cain, Marcin
Kalinowski, John Preskil, Mikhail Lukin and Nishad Maskara</t>
  </si>
  <si>
    <t>Batched high-rate logical operations for quantum LDPC codes</t>
  </si>
  <si>
    <t>112</t>
  </si>
  <si>
    <t>Christine Li, John Preskill and Qian Xu</t>
  </si>
  <si>
    <t>Transversal Dimension Jump for Product qLDPC Codes</t>
  </si>
  <si>
    <t>134</t>
  </si>
  <si>
    <t>Boren Gu, Andy Zeyi Liu, Armanda O. Quintavalle, Qian Xu,
Jens Eisert and Joschka Roffe</t>
  </si>
  <si>
    <t>QGPU: Parallel logic in quantum LDPC codes</t>
  </si>
  <si>
    <t>137</t>
  </si>
  <si>
    <t>Kathleen Chang, Alexander Cowtan, Zhiyang He, Tomas
Jochym-O'Connor, Dominic Williamson, Theodore Yoder and
Guanyu Zhu</t>
  </si>
  <si>
    <t>Constant-Time QLDPC Code Surgery: Formulation and
Constructions</t>
  </si>
  <si>
    <t>235</t>
  </si>
  <si>
    <t>Maine Christos, Chiu-Fan Bowen Lo, Vedika Khemani and Rahul
Sahay</t>
  </si>
  <si>
    <t>Non-Abelian Quantum Low-Density Parity Check Codes and
Non-Clifford Operations from Gauging Logical Gates via
Measurements</t>
  </si>
  <si>
    <t>71</t>
  </si>
  <si>
    <t>Louis Golowich, Kathleen Chang and Guanyu Zhu</t>
  </si>
  <si>
    <t>Constant-Overhead Addressable Gates via Single-Shot Code
Switching</t>
  </si>
  <si>
    <t>82</t>
  </si>
  <si>
    <t>Varun Menon, J. Pablo Bonilla Ataides, Rohan Mehta, Andi
Gu, Daniel Bochen Tan and Mikhail Lukin</t>
  </si>
  <si>
    <t>Efficient magic-state generation with quantum tricycle codes</t>
  </si>
  <si>
    <t>199</t>
  </si>
  <si>
    <t>Sheng-Jie Huang, Alison Warman, Sakura Schafer-Nameki and
Yanzhu Chen</t>
  </si>
  <si>
    <t>Hybrid Lattice Surgery: Non-Cliﬀord Gates via Non-Abelian
Surface Codes</t>
  </si>
  <si>
    <t>232</t>
  </si>
  <si>
    <t>Anqi Gong, Christopher Pattison, Patrick Rall and Adam Wills</t>
  </si>
  <si>
    <t>Magic state distillation via codes over binary extension
fields</t>
  </si>
  <si>
    <t>42</t>
  </si>
  <si>
    <t>Lucas Daguerre, Robin Blume-Kohout, Natalie C. Brown, David
Hayes and Isaac H. Kim</t>
  </si>
  <si>
    <t>Experimental Demonstration of High-Fidelity Logical Magic
States from Code Switching</t>
  </si>
  <si>
    <t>156</t>
  </si>
  <si>
    <t>Emma Rosenfeld, Craig Gidney, Gabrielle Roberts, Alexis
Morvan, Nathan Lacroix, Dvir Kafri, Jeffrey Marshall, Ming
Li, Volodymyr Sivak, Alexandre Bourassa and Kevin Satzinger</t>
  </si>
  <si>
    <t>Magic state cultivation on a superconducting quantum
processor</t>
  </si>
  <si>
    <t>101</t>
  </si>
  <si>
    <t>Andi Gu, Pablo Bonilla, Mikhail Lukin and Susanne Yelin</t>
  </si>
  <si>
    <t>Scaling Neural Decoders to Large Codes and Low Error Rates</t>
  </si>
  <si>
    <t>180</t>
  </si>
  <si>
    <t>Andrew Senior, Thomas Edlich, Francisco Heras, Lei Zhang,
Oscar Higgot, James Spencer, Taylor Applebaum, Sam
Blackwell, Justin Ledford, Akvilė Žemgulytė, Augustin
Žídek, Noah Shutty, Andrew Cowie, Yin Li, George Holland,
Peter Brooks, Charlie Beattie, Michael Newman, Alex Davies,
Cody Jones, Sergio Boixo, Hartmut Neven, Pushmeet Kohli and
Johannes Bausch</t>
  </si>
  <si>
    <t>A scalable and real-time neural decoder for topological
quantum codes</t>
  </si>
  <si>
    <t>4</t>
  </si>
  <si>
    <t>Shayan Majidy, Jin Ming Koh, Anqi Gong, Andrei Diaconu,
Daniel Tan, Alexandra Geim, Michael Gullans, Norman Yao and
Mikhail Lukin</t>
  </si>
  <si>
    <t>Entangling logical qubits without physical operations</t>
  </si>
  <si>
    <t>38</t>
  </si>
  <si>
    <t>Daniel Tan, J. Pablo Bonilla Ataides, Varun Menon, Jin Ming
Koh, Andrei Diaconu and Mikhail Lukin</t>
  </si>
  <si>
    <t>Syndrome Extraction Circuits with Near-Optimal Depths for
Practical Quantum Error Correcting Code Families</t>
  </si>
  <si>
    <t>138</t>
  </si>
  <si>
    <t>Benjamin Rodatz, Boldizsár Poór and Aleks Kissinger</t>
  </si>
  <si>
    <t>Fault Tolerance by Construction</t>
  </si>
  <si>
    <t>207</t>
  </si>
  <si>
    <t>Andrew C Yuan, Nouédyn Baspin and Dominic J. Williamson</t>
  </si>
  <si>
    <t>Quantum Weight Reduction with Layer Codes</t>
  </si>
  <si>
    <t>227</t>
  </si>
  <si>
    <t>Kyle Gulshen and Tali Kaufman</t>
  </si>
  <si>
    <t>Symmetric Self-Dual Quantum Codes on High Dimensional
Expanders</t>
  </si>
  <si>
    <t>79</t>
  </si>
  <si>
    <t>Han Zheng, Chia-Tung Chu, Senrui Chen, Argyris Giannisis
Manes, Su-un Lee, Sisi Zhou and Liang Jiang</t>
  </si>
  <si>
    <t>Efficient learning of logical noise from syndrome data</t>
  </si>
  <si>
    <t>90</t>
  </si>
  <si>
    <t>Michael Beverland, Malcolm Carroll, Andrew Cross and
Theodore Yoder</t>
  </si>
  <si>
    <t>Fail fast: techniques to probe rare events in quantum error
correction</t>
  </si>
  <si>
    <t>110</t>
  </si>
  <si>
    <t>Jordan Hines, Corey Ostrove, Kenneth Rudinger, Stefan
Seritan, Kevin Young, Robin Blume-Kohout and Timothy Proctor</t>
  </si>
  <si>
    <t>Efficient Simulation and Modeling of Quantum Error
Correction with Small Markovian Errors</t>
  </si>
  <si>
    <t>118</t>
  </si>
  <si>
    <t>Kento Tsubouchi, Hyukgun Kwon, Liang Jiang and Nobuyuki
Yoshioka</t>
  </si>
  <si>
    <t>Quantum advantages for syndrome-aware noisy logical
observable estimation</t>
  </si>
  <si>
    <t>210</t>
  </si>
  <si>
    <t>Nicola Pancotti and Krysta Svore</t>
  </si>
  <si>
    <t>Exact learning of quantum noise with tensor networks</t>
  </si>
  <si>
    <t>259</t>
  </si>
  <si>
    <t>Xiao Xiao, Dominik Hangleiter, Dolev Bluvstein, Mikhail
Lukin and Michael Gullans</t>
  </si>
  <si>
    <t>In-situ benchmarking of fault-tolerant quantum circuits</t>
  </si>
  <si>
    <t>30</t>
  </si>
  <si>
    <t>Satoshi Yoshida, Ethan Lake and Hayata Yamasaki</t>
  </si>
  <si>
    <t>Proof of a finite threshold for the union-find decoder</t>
  </si>
  <si>
    <t>47</t>
  </si>
  <si>
    <t>Chao Zhang, Zipeng Wu, Jiahui Wu and Shilin Huang</t>
  </si>
  <si>
    <t>Efficient high-threshold decoding for concatenated quantum
Hamming codes with near-optimal effective distance</t>
  </si>
  <si>
    <t>113</t>
  </si>
  <si>
    <t>Adam Wills, Ting-Chun Lin, Rachel Zhang and Min-Hsiu Hsieh</t>
  </si>
  <si>
    <t>Linear-Time Encodable and Decodable Quantum
Error-Correcting Codes</t>
  </si>
  <si>
    <t>131</t>
  </si>
  <si>
    <t>Mark Walters and Mark Turner</t>
  </si>
  <si>
    <t>Minimum Weight Decoding in the Colour Code is NP-hard</t>
  </si>
  <si>
    <t>145</t>
  </si>
  <si>
    <t>Arshpreet Singh Maan, Francisco Miguel Garcia Herrero,
Alexandru Paler and Valentin Savin</t>
  </si>
  <si>
    <t>Decoding Correlated Errors in Quantum LDPC Codes</t>
  </si>
  <si>
    <t>186</t>
  </si>
  <si>
    <t>Zac Tobias, Nikolas Breuckmann and Benedikt Placke</t>
  </si>
  <si>
    <t>Optimal Decoding with the Worm</t>
  </si>
  <si>
    <t xml:space="preserve"> SCHEDULE</t>
  </si>
  <si>
    <t>7th</t>
  </si>
  <si>
    <t>8th</t>
  </si>
  <si>
    <t>9th</t>
  </si>
  <si>
    <t>10th</t>
  </si>
  <si>
    <t>11th</t>
  </si>
  <si>
    <t>12th</t>
  </si>
  <si>
    <t>Sunday</t>
  </si>
  <si>
    <t>Monday</t>
  </si>
  <si>
    <t>Tuesday</t>
  </si>
  <si>
    <t>Wednesday</t>
  </si>
  <si>
    <t>Thursday</t>
  </si>
  <si>
    <t>Friday</t>
  </si>
  <si>
    <t>Opening Remarks</t>
  </si>
  <si>
    <t>Tutorial</t>
  </si>
  <si>
    <t>Invited Keynote</t>
  </si>
  <si>
    <t>Yue Wu</t>
  </si>
  <si>
    <t>Leverrier</t>
  </si>
  <si>
    <t>Thaddeus</t>
  </si>
  <si>
    <t>Natalie</t>
  </si>
  <si>
    <t>Khemani</t>
  </si>
  <si>
    <t>45+15</t>
  </si>
  <si>
    <t>RC TALK</t>
  </si>
  <si>
    <t>Coffee</t>
  </si>
  <si>
    <t>Group Photo</t>
  </si>
  <si>
    <t>LUNCH</t>
  </si>
  <si>
    <t>Panel</t>
  </si>
  <si>
    <t>State of the field</t>
  </si>
  <si>
    <t>Future of the Field</t>
  </si>
  <si>
    <t>Poster Session</t>
  </si>
  <si>
    <t xml:space="preserve">Business </t>
  </si>
  <si>
    <t xml:space="preserve">Closing </t>
  </si>
  <si>
    <t>Meeting</t>
  </si>
  <si>
    <t>Remarks</t>
  </si>
  <si>
    <t>STEERING COMMITTEE DINNER</t>
  </si>
  <si>
    <t>Dinner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</si>
</sst>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8">
    <font>
      <sz val="10.0"/>
      <color rgb="FF000000"/>
      <name val="Arial"/>
      <scheme val="minor"/>
    </font>
    <font>
      <b/>
      <sz val="10.0"/>
      <color theme="1"/>
      <name val="Arial"/>
    </font>
    <font>
      <color theme="1"/>
      <name val="Arial"/>
      <scheme val="minor"/>
    </font>
    <font>
      <sz val="10.0"/>
      <color theme="1"/>
      <name val="Arial"/>
    </font>
    <font>
      <color theme="1"/>
      <name val="Google Sans"/>
    </font>
    <font>
      <color theme="1"/>
      <name val="Arial"/>
    </font>
    <font>
      <b/>
      <color theme="1"/>
      <name val="Google Sans"/>
    </font>
    <font>
      <color rgb="FF000000"/>
      <name val="Google Sans"/>
    </font>
  </fonts>
  <fills count="14">
    <fill>
      <patternFill patternType="none"/>
    </fill>
    <fill>
      <patternFill patternType="lightGray"/>
    </fill>
    <fill>
      <patternFill patternType="solid">
        <fgColor rgb="FFE9F6EA"/>
        <bgColor rgb="FFE9F6EA"/>
      </patternFill>
    </fill>
    <fill>
      <patternFill patternType="solid">
        <fgColor rgb="FFE2EDE4"/>
        <bgColor rgb="FFE2EDE4"/>
      </patternFill>
    </fill>
    <fill>
      <patternFill patternType="solid">
        <fgColor rgb="FFD9EAD3"/>
        <bgColor rgb="FFD9EAD3"/>
      </patternFill>
    </fill>
    <fill>
      <patternFill patternType="solid">
        <fgColor rgb="FFFFF2CC"/>
        <bgColor rgb="FFFFF2CC"/>
      </patternFill>
    </fill>
    <fill>
      <patternFill patternType="solid">
        <fgColor rgb="FFB4A7D6"/>
        <bgColor rgb="FFB4A7D6"/>
      </patternFill>
    </fill>
    <fill>
      <patternFill patternType="solid">
        <fgColor rgb="FFFFD966"/>
        <bgColor rgb="FFFFD966"/>
      </patternFill>
    </fill>
    <fill>
      <patternFill patternType="solid">
        <fgColor rgb="FFF6B26B"/>
        <bgColor rgb="FFF6B26B"/>
      </patternFill>
    </fill>
    <fill>
      <patternFill patternType="solid">
        <fgColor rgb="FFB6D7A8"/>
        <bgColor rgb="FFB6D7A8"/>
      </patternFill>
    </fill>
    <fill>
      <patternFill patternType="solid">
        <fgColor rgb="FFEA9999"/>
        <bgColor rgb="FFEA9999"/>
      </patternFill>
    </fill>
    <fill>
      <patternFill patternType="solid">
        <fgColor rgb="FF93C47D"/>
        <bgColor rgb="FF93C47D"/>
      </patternFill>
    </fill>
    <fill>
      <patternFill patternType="solid">
        <fgColor rgb="FFF4CCCC"/>
        <bgColor rgb="FFF4CCCC"/>
      </patternFill>
    </fill>
    <fill>
      <patternFill patternType="solid">
        <fgColor rgb="FFC9DAF8"/>
        <bgColor rgb="FFC9DAF8"/>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readingOrder="0"/>
    </xf>
    <xf borderId="1" fillId="2" fontId="3" numFmtId="0" xfId="0" applyAlignment="1" applyBorder="1" applyFill="1" applyFont="1">
      <alignment shrinkToFit="0" vertical="top" wrapText="1"/>
    </xf>
    <xf borderId="2" fillId="2" fontId="3" numFmtId="0" xfId="0" applyAlignment="1" applyBorder="1" applyFont="1">
      <alignment horizontal="center" shrinkToFit="0" vertical="top" wrapText="1"/>
    </xf>
    <xf borderId="3" fillId="0" fontId="3" numFmtId="0" xfId="0" applyAlignment="1" applyBorder="1" applyFont="1">
      <alignment horizontal="right" readingOrder="0" shrinkToFit="0" vertical="top" wrapText="1"/>
    </xf>
    <xf borderId="0" fillId="0" fontId="3" numFmtId="0" xfId="0" applyAlignment="1" applyFont="1">
      <alignment horizontal="right"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2" numFmtId="0" xfId="0" applyFont="1"/>
    <xf borderId="0" fillId="0" fontId="2" numFmtId="0" xfId="0" applyFont="1"/>
    <xf borderId="1" fillId="3" fontId="3" numFmtId="0" xfId="0" applyAlignment="1" applyBorder="1" applyFill="1" applyFont="1">
      <alignment shrinkToFit="0" vertical="top" wrapText="1"/>
    </xf>
    <xf borderId="2" fillId="3" fontId="3" numFmtId="0" xfId="0" applyAlignment="1" applyBorder="1" applyFont="1">
      <alignment horizontal="center" shrinkToFit="0" vertical="top" wrapText="1"/>
    </xf>
    <xf borderId="0" fillId="0" fontId="3" numFmtId="0" xfId="0" applyAlignment="1" applyFont="1">
      <alignment horizontal="right" readingOrder="0" shrinkToFit="0" vertical="top" wrapText="1"/>
    </xf>
    <xf borderId="0" fillId="0" fontId="4"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shrinkToFit="0" wrapText="1"/>
    </xf>
    <xf borderId="0" fillId="0" fontId="5" numFmtId="0" xfId="0" applyAlignment="1" applyFont="1">
      <alignment shrinkToFit="0" vertical="bottom" wrapText="1"/>
    </xf>
    <xf borderId="0" fillId="0" fontId="4" numFmtId="0" xfId="0" applyAlignment="1" applyFont="1">
      <alignment shrinkToFit="0" vertical="bottom" wrapText="1"/>
    </xf>
    <xf borderId="0" fillId="0" fontId="4" numFmtId="164" xfId="0" applyAlignment="1" applyFont="1" applyNumberFormat="1">
      <alignment horizontal="right" shrinkToFit="0" vertical="bottom" wrapText="1"/>
    </xf>
    <xf borderId="0" fillId="4" fontId="5" numFmtId="0" xfId="0" applyAlignment="1" applyFill="1" applyFont="1">
      <alignment shrinkToFit="0" vertical="bottom" wrapText="1"/>
    </xf>
    <xf borderId="0" fillId="4" fontId="6" numFmtId="0" xfId="0" applyAlignment="1" applyFont="1">
      <alignment shrinkToFit="0" vertical="bottom" wrapText="1"/>
    </xf>
    <xf borderId="4" fillId="5" fontId="4" numFmtId="0" xfId="0" applyAlignment="1" applyBorder="1" applyFill="1" applyFont="1">
      <alignment shrinkToFit="0" vertical="bottom" wrapText="1"/>
    </xf>
    <xf borderId="4" fillId="6" fontId="4" numFmtId="0" xfId="0" applyAlignment="1" applyBorder="1" applyFill="1" applyFont="1">
      <alignment shrinkToFit="0" vertical="bottom" wrapText="1"/>
    </xf>
    <xf borderId="5" fillId="5" fontId="5" numFmtId="0" xfId="0" applyAlignment="1" applyBorder="1" applyFont="1">
      <alignment shrinkToFit="0" vertical="bottom" wrapText="1"/>
    </xf>
    <xf borderId="5" fillId="6" fontId="5" numFmtId="0" xfId="0" applyAlignment="1" applyBorder="1" applyFont="1">
      <alignment shrinkToFit="0" vertical="bottom" wrapText="1"/>
    </xf>
    <xf borderId="4" fillId="7" fontId="4" numFmtId="0" xfId="0" applyAlignment="1" applyBorder="1" applyFill="1" applyFont="1">
      <alignment shrinkToFit="0" vertical="bottom" wrapText="1"/>
    </xf>
    <xf borderId="4" fillId="8" fontId="4" numFmtId="0" xfId="0" applyAlignment="1" applyBorder="1" applyFill="1" applyFont="1">
      <alignment readingOrder="0" shrinkToFit="0" vertical="bottom" wrapText="1"/>
    </xf>
    <xf borderId="6" fillId="5" fontId="5" numFmtId="0" xfId="0" applyAlignment="1" applyBorder="1" applyFont="1">
      <alignment shrinkToFit="0" vertical="bottom" wrapText="1"/>
    </xf>
    <xf borderId="6" fillId="7" fontId="4" numFmtId="0" xfId="0" applyAlignment="1" applyBorder="1" applyFont="1">
      <alignment readingOrder="0" shrinkToFit="0" vertical="bottom" wrapText="1"/>
    </xf>
    <xf borderId="6" fillId="8" fontId="4" numFmtId="0" xfId="0" applyAlignment="1" applyBorder="1" applyFont="1">
      <alignment shrinkToFit="0" vertical="bottom" wrapText="1"/>
    </xf>
    <xf borderId="4" fillId="8" fontId="4" numFmtId="0" xfId="0" applyAlignment="1" applyBorder="1" applyFont="1">
      <alignment shrinkToFit="0" vertical="bottom" wrapText="1"/>
    </xf>
    <xf borderId="0" fillId="9" fontId="5" numFmtId="0" xfId="0" applyAlignment="1" applyFill="1" applyFont="1">
      <alignment shrinkToFit="0" vertical="bottom" wrapText="1"/>
    </xf>
    <xf borderId="0" fillId="9" fontId="4" numFmtId="0" xfId="0" applyAlignment="1" applyFont="1">
      <alignment shrinkToFit="0" vertical="bottom" wrapText="1"/>
    </xf>
    <xf borderId="4" fillId="7" fontId="4" numFmtId="0" xfId="0" applyAlignment="1" applyBorder="1" applyFont="1">
      <alignment readingOrder="0" shrinkToFit="0" vertical="bottom" wrapText="1"/>
    </xf>
    <xf borderId="6" fillId="8" fontId="4" numFmtId="0" xfId="0" applyAlignment="1" applyBorder="1" applyFont="1">
      <alignment readingOrder="0" shrinkToFit="0" vertical="bottom" wrapText="1"/>
    </xf>
    <xf borderId="6" fillId="7" fontId="4" numFmtId="0" xfId="0" applyAlignment="1" applyBorder="1" applyFont="1">
      <alignment shrinkToFit="0" vertical="bottom" wrapText="1"/>
    </xf>
    <xf borderId="5" fillId="8" fontId="4" numFmtId="0" xfId="0" applyAlignment="1" applyBorder="1" applyFont="1">
      <alignment readingOrder="0" shrinkToFit="0" vertical="bottom" wrapText="1"/>
    </xf>
    <xf borderId="4" fillId="10" fontId="4" numFmtId="0" xfId="0" applyAlignment="1" applyBorder="1" applyFill="1" applyFont="1">
      <alignment readingOrder="0" shrinkToFit="0" vertical="bottom" wrapText="1"/>
    </xf>
    <xf borderId="7" fillId="8" fontId="4" numFmtId="0" xfId="0" applyAlignment="1" applyBorder="1" applyFont="1">
      <alignment shrinkToFit="0" vertical="bottom" wrapText="1"/>
    </xf>
    <xf borderId="8" fillId="10" fontId="4" numFmtId="0" xfId="0" applyAlignment="1" applyBorder="1" applyFont="1">
      <alignment readingOrder="0" shrinkToFit="0" vertical="bottom" wrapText="1"/>
    </xf>
    <xf borderId="6" fillId="10" fontId="4" numFmtId="0" xfId="0" applyAlignment="1" applyBorder="1" applyFont="1">
      <alignment readingOrder="0" shrinkToFit="0" vertical="bottom" wrapText="1"/>
    </xf>
    <xf borderId="6" fillId="10" fontId="5" numFmtId="0" xfId="0" applyAlignment="1" applyBorder="1" applyFont="1">
      <alignment readingOrder="0" shrinkToFit="0" vertical="bottom" wrapText="1"/>
    </xf>
    <xf borderId="0" fillId="11" fontId="5" numFmtId="0" xfId="0" applyAlignment="1" applyFill="1" applyFont="1">
      <alignment shrinkToFit="0" vertical="bottom" wrapText="1"/>
    </xf>
    <xf borderId="5" fillId="4" fontId="4" numFmtId="0" xfId="0" applyAlignment="1" applyBorder="1" applyFont="1">
      <alignment shrinkToFit="0" vertical="bottom" wrapText="1"/>
    </xf>
    <xf borderId="6" fillId="4" fontId="5" numFmtId="0" xfId="0" applyAlignment="1" applyBorder="1" applyFont="1">
      <alignment shrinkToFit="0" vertical="bottom" wrapText="1"/>
    </xf>
    <xf borderId="0" fillId="11" fontId="4" numFmtId="0" xfId="0" applyAlignment="1" applyFont="1">
      <alignment shrinkToFit="0" vertical="bottom" wrapText="1"/>
    </xf>
    <xf borderId="4" fillId="8" fontId="7" numFmtId="0" xfId="0" applyAlignment="1" applyBorder="1" applyFont="1">
      <alignment readingOrder="0" shrinkToFit="0" vertical="bottom" wrapText="1"/>
    </xf>
    <xf borderId="4" fillId="8" fontId="5" numFmtId="0" xfId="0" applyAlignment="1" applyBorder="1" applyFont="1">
      <alignment readingOrder="0" shrinkToFit="0" vertical="bottom" wrapText="1"/>
    </xf>
    <xf borderId="4" fillId="8" fontId="4" numFmtId="0" xfId="0" applyAlignment="1" applyBorder="1" applyFont="1">
      <alignment shrinkToFit="0" vertical="bottom" wrapText="1"/>
    </xf>
    <xf borderId="0" fillId="0" fontId="2" numFmtId="0" xfId="0" applyAlignment="1" applyFont="1">
      <alignment readingOrder="0" shrinkToFit="0" wrapText="1"/>
    </xf>
    <xf borderId="6" fillId="6" fontId="5" numFmtId="0" xfId="0" applyAlignment="1" applyBorder="1" applyFont="1">
      <alignment shrinkToFit="0" vertical="bottom" wrapText="1"/>
    </xf>
    <xf borderId="9" fillId="0" fontId="5" numFmtId="0" xfId="0" applyAlignment="1" applyBorder="1" applyFont="1">
      <alignment readingOrder="0" shrinkToFit="0" vertical="bottom" wrapText="1"/>
    </xf>
    <xf borderId="4" fillId="12" fontId="4" numFmtId="0" xfId="0" applyAlignment="1" applyBorder="1" applyFill="1" applyFont="1">
      <alignment shrinkToFit="0" vertical="bottom" wrapText="1"/>
    </xf>
    <xf borderId="4" fillId="4" fontId="4" numFmtId="0" xfId="0" applyAlignment="1" applyBorder="1" applyFont="1">
      <alignment shrinkToFit="0" vertical="bottom" wrapText="1"/>
    </xf>
    <xf borderId="10" fillId="0" fontId="5" numFmtId="0" xfId="0" applyAlignment="1" applyBorder="1" applyFont="1">
      <alignment shrinkToFit="0" vertical="bottom" wrapText="1"/>
    </xf>
    <xf borderId="5" fillId="12" fontId="4" numFmtId="0" xfId="0" applyAlignment="1" applyBorder="1" applyFont="1">
      <alignment shrinkToFit="0" vertical="bottom" wrapText="1"/>
    </xf>
    <xf borderId="6" fillId="4" fontId="4" numFmtId="0" xfId="0" applyAlignment="1" applyBorder="1" applyFont="1">
      <alignment shrinkToFit="0" vertical="bottom" wrapText="1"/>
    </xf>
    <xf borderId="5" fillId="12" fontId="5" numFmtId="0" xfId="0" applyAlignment="1" applyBorder="1" applyFont="1">
      <alignment shrinkToFit="0" vertical="bottom" wrapText="1"/>
    </xf>
    <xf borderId="8" fillId="12" fontId="5" numFmtId="0" xfId="0" applyAlignment="1" applyBorder="1" applyFont="1">
      <alignment shrinkToFit="0" vertical="bottom" wrapText="1"/>
    </xf>
    <xf borderId="4" fillId="4" fontId="5" numFmtId="0" xfId="0" applyAlignment="1" applyBorder="1" applyFont="1">
      <alignment readingOrder="0" shrinkToFit="0" vertical="bottom" wrapText="1"/>
    </xf>
    <xf borderId="5" fillId="13" fontId="4" numFmtId="0" xfId="0" applyAlignment="1" applyBorder="1" applyFill="1" applyFont="1">
      <alignment shrinkToFit="0" vertical="bottom" wrapText="1"/>
    </xf>
    <xf borderId="5" fillId="4" fontId="5" numFmtId="0" xfId="0" applyAlignment="1" applyBorder="1" applyFont="1">
      <alignment shrinkToFit="0" vertical="bottom" wrapText="1"/>
    </xf>
    <xf borderId="5" fillId="13" fontId="5" numFmtId="0" xfId="0" applyAlignment="1" applyBorder="1" applyFont="1">
      <alignment shrinkToFit="0" vertical="bottom" wrapText="1"/>
    </xf>
    <xf borderId="6" fillId="13" fontId="5" numFmtId="0" xfId="0" applyAlignment="1" applyBorder="1" applyFont="1">
      <alignment shrinkToFit="0" vertical="bottom" wrapText="1"/>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ripto Debroy" id="{a26f83e9-96e2-4ae4-b764-b6c2738c569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4-23T18:38:32.00" personId="{a26f83e9-96e2-4ae4-b764-b6c2738c569f}" id="{a3448056-d7f9-4741-a81c-04ffd93e05bd}" done="1">
    <x18tc:text xml:space="preserve">it feels like these talks shouldnt be in a slot where a lot of people would miss them :/
thoughts on switching the prev two talks and these two? or maybe even the first two talks of the day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0"/>
  <cols>
    <col customWidth="1" min="1" max="1" width="4.0"/>
    <col customWidth="1" min="2" max="2" width="48.88"/>
    <col customWidth="1" min="3" max="3" width="51.0"/>
    <col customWidth="1" min="4" max="4" width="19.0"/>
    <col customWidth="1" min="5" max="5" width="19.5"/>
    <col customWidth="1" min="6" max="8" width="10.63"/>
    <col customWidth="1" min="9" max="9" width="23.0"/>
    <col customWidth="1" min="10" max="26" width="10.63"/>
  </cols>
  <sheetData>
    <row r="1" ht="12.75" customHeight="1">
      <c r="A1" s="1" t="s">
        <v>0</v>
      </c>
      <c r="B1" s="1" t="s">
        <v>1</v>
      </c>
      <c r="C1" s="1" t="s">
        <v>2</v>
      </c>
      <c r="D1" s="2" t="s">
        <v>3</v>
      </c>
      <c r="E1" s="3" t="s">
        <v>4</v>
      </c>
      <c r="F1" s="4"/>
      <c r="G1" s="5" t="s">
        <v>5</v>
      </c>
      <c r="H1" s="4"/>
      <c r="I1" s="5" t="s">
        <v>6</v>
      </c>
      <c r="L1" s="6" t="s">
        <v>7</v>
      </c>
    </row>
    <row r="2" ht="12.75" customHeight="1">
      <c r="A2" s="7" t="s">
        <v>8</v>
      </c>
      <c r="B2" s="7" t="s">
        <v>9</v>
      </c>
      <c r="C2" s="7" t="s">
        <v>10</v>
      </c>
      <c r="D2" s="8" t="s">
        <v>11</v>
      </c>
      <c r="E2" s="9" t="s">
        <v>12</v>
      </c>
      <c r="F2" s="10"/>
      <c r="G2" s="11">
        <f>COUNTIF(Schedule!A:G,C2)</f>
        <v>1</v>
      </c>
      <c r="H2" s="11"/>
      <c r="I2" s="12" t="s">
        <v>13</v>
      </c>
      <c r="J2" s="13">
        <f>COUNTIF(Submissions!E:E,I2)</f>
        <v>2</v>
      </c>
      <c r="L2" s="6" t="s">
        <v>14</v>
      </c>
      <c r="M2" s="13">
        <f>COUNTIF(Submissions!D:D, L2)</f>
        <v>8</v>
      </c>
    </row>
    <row r="3" ht="12.75" customHeight="1">
      <c r="A3" s="7" t="s">
        <v>15</v>
      </c>
      <c r="B3" s="7" t="s">
        <v>16</v>
      </c>
      <c r="C3" s="7" t="s">
        <v>17</v>
      </c>
      <c r="D3" s="8" t="s">
        <v>11</v>
      </c>
      <c r="E3" s="9" t="s">
        <v>12</v>
      </c>
      <c r="F3" s="10"/>
      <c r="G3" s="11">
        <f>COUNTIF(Schedule!A:G,C3)</f>
        <v>1</v>
      </c>
      <c r="H3" s="11"/>
      <c r="I3" s="12" t="s">
        <v>18</v>
      </c>
      <c r="J3" s="13">
        <f>COUNTIF(Submissions!E:E,I3)</f>
        <v>6</v>
      </c>
      <c r="L3" s="6" t="s">
        <v>11</v>
      </c>
      <c r="M3" s="13">
        <f>COUNTIF(Submissions!D:D, L3)</f>
        <v>30</v>
      </c>
    </row>
    <row r="4" ht="12.75" customHeight="1">
      <c r="A4" s="7" t="s">
        <v>19</v>
      </c>
      <c r="B4" s="7" t="s">
        <v>20</v>
      </c>
      <c r="C4" s="7" t="s">
        <v>21</v>
      </c>
      <c r="D4" s="8" t="s">
        <v>11</v>
      </c>
      <c r="E4" s="9" t="s">
        <v>12</v>
      </c>
      <c r="F4" s="10"/>
      <c r="G4" s="11">
        <f>COUNTIF(Schedule!A:G,C4)</f>
        <v>1</v>
      </c>
      <c r="H4" s="11"/>
      <c r="I4" s="12" t="s">
        <v>22</v>
      </c>
      <c r="J4" s="13">
        <f>COUNTIF(Submissions!E:E,I4)</f>
        <v>3</v>
      </c>
      <c r="L4" s="14" t="s">
        <v>23</v>
      </c>
      <c r="M4" s="13">
        <f>COUNTIF(Submissions!D:D, L4)</f>
        <v>6</v>
      </c>
    </row>
    <row r="5" ht="12.75" customHeight="1">
      <c r="A5" s="7" t="s">
        <v>24</v>
      </c>
      <c r="B5" s="7" t="s">
        <v>25</v>
      </c>
      <c r="C5" s="7" t="s">
        <v>26</v>
      </c>
      <c r="D5" s="8" t="s">
        <v>11</v>
      </c>
      <c r="E5" s="9" t="s">
        <v>27</v>
      </c>
      <c r="F5" s="10"/>
      <c r="G5" s="11">
        <f>COUNTIF(Schedule!A:G,C5)</f>
        <v>1</v>
      </c>
      <c r="H5" s="11"/>
      <c r="I5" s="12" t="s">
        <v>28</v>
      </c>
      <c r="J5" s="13">
        <f>COUNTIF(Submissions!E:E,I5)</f>
        <v>5</v>
      </c>
    </row>
    <row r="6" ht="12.75" customHeight="1">
      <c r="A6" s="15" t="s">
        <v>29</v>
      </c>
      <c r="B6" s="15" t="s">
        <v>30</v>
      </c>
      <c r="C6" s="15" t="s">
        <v>31</v>
      </c>
      <c r="D6" s="16" t="s">
        <v>11</v>
      </c>
      <c r="E6" s="9" t="s">
        <v>27</v>
      </c>
      <c r="F6" s="10"/>
      <c r="G6" s="11">
        <f>COUNTIF(Schedule!A:G,C6)</f>
        <v>1</v>
      </c>
      <c r="H6" s="11"/>
      <c r="I6" s="12" t="s">
        <v>32</v>
      </c>
      <c r="J6" s="13">
        <f>COUNTIF(Submissions!E:E,I6)</f>
        <v>2</v>
      </c>
      <c r="L6" s="6" t="s">
        <v>33</v>
      </c>
      <c r="M6" s="13">
        <f>SUM(M2:M4)</f>
        <v>44</v>
      </c>
    </row>
    <row r="7" ht="12.75" customHeight="1">
      <c r="A7" s="7" t="s">
        <v>34</v>
      </c>
      <c r="B7" s="7" t="s">
        <v>35</v>
      </c>
      <c r="C7" s="7" t="s">
        <v>36</v>
      </c>
      <c r="D7" s="8" t="s">
        <v>11</v>
      </c>
      <c r="E7" s="9" t="s">
        <v>27</v>
      </c>
      <c r="F7" s="10"/>
      <c r="G7" s="11">
        <f>COUNTIF(Schedule!A:G,C7)</f>
        <v>1</v>
      </c>
      <c r="H7" s="11"/>
      <c r="I7" s="12" t="s">
        <v>37</v>
      </c>
      <c r="J7" s="13">
        <f>COUNTIF(Submissions!E:E,I7)</f>
        <v>4</v>
      </c>
    </row>
    <row r="8" ht="12.75" customHeight="1">
      <c r="A8" s="15" t="s">
        <v>38</v>
      </c>
      <c r="B8" s="15" t="s">
        <v>39</v>
      </c>
      <c r="C8" s="15" t="s">
        <v>40</v>
      </c>
      <c r="D8" s="16" t="s">
        <v>14</v>
      </c>
      <c r="E8" s="9" t="s">
        <v>27</v>
      </c>
      <c r="F8" s="10"/>
      <c r="G8" s="11">
        <f>COUNTIF(Schedule!A:G,C8)</f>
        <v>1</v>
      </c>
      <c r="H8" s="11"/>
      <c r="I8" s="12" t="s">
        <v>27</v>
      </c>
      <c r="J8" s="13">
        <f>COUNTIF(Submissions!E:E,I8)</f>
        <v>6</v>
      </c>
    </row>
    <row r="9" ht="12.75" customHeight="1">
      <c r="A9" s="7" t="s">
        <v>41</v>
      </c>
      <c r="B9" s="7" t="s">
        <v>42</v>
      </c>
      <c r="C9" s="7" t="s">
        <v>43</v>
      </c>
      <c r="D9" s="8" t="s">
        <v>14</v>
      </c>
      <c r="E9" s="9" t="s">
        <v>27</v>
      </c>
      <c r="F9" s="10"/>
      <c r="G9" s="11">
        <f>COUNTIF(Schedule!A:G,C9)</f>
        <v>1</v>
      </c>
      <c r="H9" s="11"/>
      <c r="I9" s="12" t="s">
        <v>44</v>
      </c>
      <c r="J9" s="13">
        <f>COUNTIF(Submissions!E:E,I9)</f>
        <v>7</v>
      </c>
    </row>
    <row r="10" ht="12.75" customHeight="1">
      <c r="A10" s="7" t="s">
        <v>45</v>
      </c>
      <c r="B10" s="7" t="s">
        <v>46</v>
      </c>
      <c r="C10" s="7" t="s">
        <v>47</v>
      </c>
      <c r="D10" s="8" t="s">
        <v>11</v>
      </c>
      <c r="E10" s="9" t="s">
        <v>22</v>
      </c>
      <c r="F10" s="10"/>
      <c r="G10" s="11">
        <f>COUNTIF(Schedule!A:G,C10)</f>
        <v>1</v>
      </c>
      <c r="H10" s="11"/>
      <c r="I10" s="12" t="s">
        <v>12</v>
      </c>
      <c r="J10" s="13">
        <f>COUNTIF(Submissions!E:E,I10)</f>
        <v>4</v>
      </c>
    </row>
    <row r="11" ht="12.75" customHeight="1">
      <c r="A11" s="7" t="s">
        <v>48</v>
      </c>
      <c r="B11" s="7" t="s">
        <v>49</v>
      </c>
      <c r="C11" s="7" t="s">
        <v>50</v>
      </c>
      <c r="D11" s="8" t="s">
        <v>14</v>
      </c>
      <c r="E11" s="9" t="s">
        <v>22</v>
      </c>
      <c r="F11" s="10"/>
      <c r="G11" s="11">
        <f>COUNTIF(Schedule!A:G,C11)</f>
        <v>1</v>
      </c>
      <c r="H11" s="11"/>
      <c r="I11" s="12" t="s">
        <v>51</v>
      </c>
      <c r="J11" s="13">
        <f>COUNTIF(Submissions!E:E,I11)</f>
        <v>5</v>
      </c>
    </row>
    <row r="12" ht="12.75" customHeight="1">
      <c r="A12" s="15" t="s">
        <v>52</v>
      </c>
      <c r="B12" s="15" t="s">
        <v>53</v>
      </c>
      <c r="C12" s="15" t="s">
        <v>54</v>
      </c>
      <c r="D12" s="16" t="s">
        <v>11</v>
      </c>
      <c r="E12" s="9" t="s">
        <v>27</v>
      </c>
      <c r="F12" s="17"/>
      <c r="G12" s="11">
        <f>COUNTIF(Schedule!A:G,C12)</f>
        <v>1</v>
      </c>
      <c r="H12" s="11"/>
      <c r="I12" s="11"/>
    </row>
    <row r="13" ht="12.75" customHeight="1">
      <c r="A13" s="15" t="s">
        <v>55</v>
      </c>
      <c r="B13" s="15" t="s">
        <v>56</v>
      </c>
      <c r="C13" s="15" t="s">
        <v>57</v>
      </c>
      <c r="D13" s="16" t="s">
        <v>11</v>
      </c>
      <c r="E13" s="9" t="s">
        <v>22</v>
      </c>
      <c r="F13" s="10"/>
      <c r="G13" s="11">
        <f>COUNTIF(Schedule!A:G,C13)</f>
        <v>1</v>
      </c>
      <c r="H13" s="11"/>
      <c r="I13" s="12" t="s">
        <v>33</v>
      </c>
      <c r="J13" s="13">
        <f>SUM(J2:J11)</f>
        <v>44</v>
      </c>
    </row>
    <row r="14" ht="12.75" customHeight="1">
      <c r="A14" s="15" t="s">
        <v>58</v>
      </c>
      <c r="B14" s="15" t="s">
        <v>59</v>
      </c>
      <c r="C14" s="15" t="s">
        <v>60</v>
      </c>
      <c r="D14" s="16" t="s">
        <v>23</v>
      </c>
      <c r="E14" s="9" t="s">
        <v>44</v>
      </c>
      <c r="F14" s="17" t="s">
        <v>61</v>
      </c>
      <c r="G14" s="11">
        <f>COUNTIF(Schedule!A:G,C14)</f>
        <v>1</v>
      </c>
      <c r="H14" s="12"/>
    </row>
    <row r="15" ht="12.75" customHeight="1">
      <c r="A15" s="15" t="s">
        <v>62</v>
      </c>
      <c r="B15" s="15" t="s">
        <v>63</v>
      </c>
      <c r="C15" s="15" t="s">
        <v>64</v>
      </c>
      <c r="D15" s="16" t="s">
        <v>11</v>
      </c>
      <c r="E15" s="9" t="s">
        <v>44</v>
      </c>
      <c r="F15" s="10"/>
      <c r="G15" s="11">
        <f>COUNTIF(Schedule!A:G,C15)</f>
        <v>1</v>
      </c>
      <c r="H15" s="11"/>
    </row>
    <row r="16" ht="12.75" customHeight="1">
      <c r="A16" s="15" t="s">
        <v>65</v>
      </c>
      <c r="B16" s="15" t="s">
        <v>66</v>
      </c>
      <c r="C16" s="15" t="s">
        <v>67</v>
      </c>
      <c r="D16" s="16" t="s">
        <v>11</v>
      </c>
      <c r="E16" s="9" t="s">
        <v>44</v>
      </c>
      <c r="F16" s="10"/>
      <c r="G16" s="11">
        <f>COUNTIF(Schedule!A:G,C16)</f>
        <v>1</v>
      </c>
      <c r="H16" s="11"/>
      <c r="I16" s="11"/>
    </row>
    <row r="17" ht="12.75" customHeight="1">
      <c r="A17" s="7" t="s">
        <v>68</v>
      </c>
      <c r="B17" s="7" t="s">
        <v>69</v>
      </c>
      <c r="C17" s="7" t="s">
        <v>70</v>
      </c>
      <c r="D17" s="8" t="s">
        <v>23</v>
      </c>
      <c r="E17" s="9" t="s">
        <v>44</v>
      </c>
      <c r="F17" s="17" t="s">
        <v>61</v>
      </c>
      <c r="G17" s="11">
        <f>COUNTIF(Schedule!A:G,C17)</f>
        <v>1</v>
      </c>
      <c r="H17" s="12"/>
      <c r="I17" s="11"/>
    </row>
    <row r="18" ht="12.75" customHeight="1">
      <c r="A18" s="7" t="s">
        <v>71</v>
      </c>
      <c r="B18" s="7" t="s">
        <v>72</v>
      </c>
      <c r="C18" s="7" t="s">
        <v>73</v>
      </c>
      <c r="D18" s="8" t="s">
        <v>11</v>
      </c>
      <c r="E18" s="9" t="s">
        <v>44</v>
      </c>
      <c r="F18" s="10"/>
      <c r="G18" s="11">
        <f>COUNTIF(Schedule!A:G,C18)</f>
        <v>1</v>
      </c>
      <c r="H18" s="11"/>
      <c r="I18" s="11"/>
    </row>
    <row r="19" ht="12.75" customHeight="1">
      <c r="A19" s="15" t="s">
        <v>74</v>
      </c>
      <c r="B19" s="15" t="s">
        <v>75</v>
      </c>
      <c r="C19" s="15" t="s">
        <v>76</v>
      </c>
      <c r="D19" s="16" t="s">
        <v>11</v>
      </c>
      <c r="E19" s="9" t="s">
        <v>44</v>
      </c>
      <c r="F19" s="10"/>
      <c r="G19" s="11">
        <f>COUNTIF(Schedule!A:G,C19)</f>
        <v>1</v>
      </c>
      <c r="H19" s="11"/>
      <c r="I19" s="11"/>
    </row>
    <row r="20" ht="12.75" customHeight="1">
      <c r="A20" s="15" t="s">
        <v>77</v>
      </c>
      <c r="B20" s="15" t="s">
        <v>78</v>
      </c>
      <c r="C20" s="15" t="s">
        <v>79</v>
      </c>
      <c r="D20" s="16" t="s">
        <v>11</v>
      </c>
      <c r="E20" s="9" t="s">
        <v>44</v>
      </c>
      <c r="F20" s="10"/>
      <c r="G20" s="11">
        <f>COUNTIF(Schedule!A:G,C20)</f>
        <v>1</v>
      </c>
      <c r="H20" s="11"/>
      <c r="I20" s="11"/>
    </row>
    <row r="21" ht="12.75" customHeight="1">
      <c r="A21" s="7" t="s">
        <v>80</v>
      </c>
      <c r="B21" s="7" t="s">
        <v>81</v>
      </c>
      <c r="C21" s="7" t="s">
        <v>82</v>
      </c>
      <c r="D21" s="8" t="s">
        <v>23</v>
      </c>
      <c r="E21" s="9" t="s">
        <v>37</v>
      </c>
      <c r="F21" s="17" t="s">
        <v>61</v>
      </c>
      <c r="G21" s="11">
        <f>COUNTIF(Schedule!A:G,C21)</f>
        <v>1</v>
      </c>
      <c r="H21" s="12"/>
    </row>
    <row r="22" ht="12.75" customHeight="1">
      <c r="A22" s="7" t="s">
        <v>83</v>
      </c>
      <c r="B22" s="7" t="s">
        <v>84</v>
      </c>
      <c r="C22" s="7" t="s">
        <v>85</v>
      </c>
      <c r="D22" s="8" t="s">
        <v>11</v>
      </c>
      <c r="E22" s="9" t="s">
        <v>37</v>
      </c>
      <c r="F22" s="10"/>
      <c r="G22" s="11">
        <f>COUNTIF(Schedule!A:G,C22)</f>
        <v>1</v>
      </c>
      <c r="H22" s="11"/>
      <c r="I22" s="12"/>
    </row>
    <row r="23" ht="12.75" customHeight="1">
      <c r="A23" s="7" t="s">
        <v>86</v>
      </c>
      <c r="B23" s="7" t="s">
        <v>87</v>
      </c>
      <c r="C23" s="7" t="s">
        <v>88</v>
      </c>
      <c r="D23" s="8" t="s">
        <v>23</v>
      </c>
      <c r="E23" s="9" t="s">
        <v>37</v>
      </c>
      <c r="F23" s="17" t="s">
        <v>61</v>
      </c>
      <c r="G23" s="11">
        <f>COUNTIF(Schedule!A:G,C23)</f>
        <v>1</v>
      </c>
      <c r="H23" s="12"/>
      <c r="I23" s="11"/>
    </row>
    <row r="24" ht="12.75" customHeight="1">
      <c r="A24" s="7" t="s">
        <v>89</v>
      </c>
      <c r="B24" s="7" t="s">
        <v>90</v>
      </c>
      <c r="C24" s="7" t="s">
        <v>91</v>
      </c>
      <c r="D24" s="8" t="s">
        <v>14</v>
      </c>
      <c r="E24" s="9" t="s">
        <v>37</v>
      </c>
      <c r="F24" s="10"/>
      <c r="G24" s="11">
        <f>COUNTIF(Schedule!A:G,C24)</f>
        <v>1</v>
      </c>
      <c r="H24" s="11"/>
      <c r="I24" s="11"/>
    </row>
    <row r="25" ht="12.75" customHeight="1">
      <c r="A25" s="7" t="s">
        <v>92</v>
      </c>
      <c r="B25" s="7" t="s">
        <v>93</v>
      </c>
      <c r="C25" s="7" t="s">
        <v>94</v>
      </c>
      <c r="D25" s="8" t="s">
        <v>11</v>
      </c>
      <c r="E25" s="9" t="s">
        <v>32</v>
      </c>
      <c r="F25" s="10"/>
      <c r="G25" s="11">
        <f>COUNTIF(Schedule!A:G,C25)</f>
        <v>1</v>
      </c>
      <c r="H25" s="11"/>
    </row>
    <row r="26" ht="12.75" customHeight="1">
      <c r="A26" s="7" t="s">
        <v>95</v>
      </c>
      <c r="B26" s="7" t="s">
        <v>96</v>
      </c>
      <c r="C26" s="7" t="s">
        <v>97</v>
      </c>
      <c r="D26" s="8" t="s">
        <v>11</v>
      </c>
      <c r="E26" s="9" t="s">
        <v>32</v>
      </c>
      <c r="F26" s="10"/>
      <c r="G26" s="11">
        <f>COUNTIF(Schedule!A:G,C26)</f>
        <v>1</v>
      </c>
      <c r="H26" s="11"/>
      <c r="I26" s="11"/>
    </row>
    <row r="27" ht="12.75" customHeight="1">
      <c r="A27" s="7" t="s">
        <v>98</v>
      </c>
      <c r="B27" s="7" t="s">
        <v>99</v>
      </c>
      <c r="C27" s="7" t="s">
        <v>100</v>
      </c>
      <c r="D27" s="8" t="s">
        <v>14</v>
      </c>
      <c r="E27" s="9" t="s">
        <v>13</v>
      </c>
      <c r="F27" s="10"/>
      <c r="G27" s="11">
        <f>COUNTIF(Schedule!A:G,C27)</f>
        <v>1</v>
      </c>
      <c r="H27" s="11"/>
      <c r="I27" s="11"/>
    </row>
    <row r="28" ht="12.75" customHeight="1">
      <c r="A28" s="7" t="s">
        <v>101</v>
      </c>
      <c r="B28" s="7" t="s">
        <v>102</v>
      </c>
      <c r="C28" s="7" t="s">
        <v>103</v>
      </c>
      <c r="D28" s="8" t="s">
        <v>11</v>
      </c>
      <c r="E28" s="9" t="s">
        <v>13</v>
      </c>
      <c r="F28" s="10"/>
      <c r="G28" s="11">
        <f>COUNTIF(Schedule!A:G,C28)</f>
        <v>1</v>
      </c>
      <c r="H28" s="11"/>
      <c r="I28" s="11"/>
    </row>
    <row r="29" ht="12.75" customHeight="1">
      <c r="A29" s="15" t="s">
        <v>104</v>
      </c>
      <c r="B29" s="15" t="s">
        <v>105</v>
      </c>
      <c r="C29" s="15" t="s">
        <v>106</v>
      </c>
      <c r="D29" s="16" t="s">
        <v>11</v>
      </c>
      <c r="E29" s="9" t="s">
        <v>28</v>
      </c>
      <c r="F29" s="10"/>
      <c r="G29" s="11">
        <f>COUNTIF(Schedule!A:G,C29)</f>
        <v>1</v>
      </c>
      <c r="H29" s="11"/>
    </row>
    <row r="30" ht="12.75" customHeight="1">
      <c r="A30" s="15" t="s">
        <v>107</v>
      </c>
      <c r="B30" s="15" t="s">
        <v>108</v>
      </c>
      <c r="C30" s="15" t="s">
        <v>109</v>
      </c>
      <c r="D30" s="16" t="s">
        <v>14</v>
      </c>
      <c r="E30" s="9" t="s">
        <v>28</v>
      </c>
      <c r="F30" s="10"/>
      <c r="G30" s="11">
        <f>COUNTIF(Schedule!A:G,C30)</f>
        <v>1</v>
      </c>
      <c r="H30" s="11"/>
    </row>
    <row r="31" ht="12.75" customHeight="1">
      <c r="A31" s="7" t="s">
        <v>110</v>
      </c>
      <c r="B31" s="7" t="s">
        <v>111</v>
      </c>
      <c r="C31" s="7" t="s">
        <v>112</v>
      </c>
      <c r="D31" s="8" t="s">
        <v>11</v>
      </c>
      <c r="E31" s="9" t="s">
        <v>28</v>
      </c>
      <c r="F31" s="17"/>
      <c r="G31" s="11">
        <f>COUNTIF(Schedule!A:G,C31)</f>
        <v>1</v>
      </c>
      <c r="H31" s="11"/>
      <c r="I31" s="11"/>
    </row>
    <row r="32" ht="12.75" customHeight="1">
      <c r="A32" s="7" t="s">
        <v>113</v>
      </c>
      <c r="B32" s="7" t="s">
        <v>114</v>
      </c>
      <c r="C32" s="7" t="s">
        <v>115</v>
      </c>
      <c r="D32" s="8" t="s">
        <v>11</v>
      </c>
      <c r="E32" s="9" t="s">
        <v>28</v>
      </c>
      <c r="F32" s="10"/>
      <c r="G32" s="11">
        <f>COUNTIF(Schedule!A:G,C32)</f>
        <v>1</v>
      </c>
      <c r="H32" s="11"/>
      <c r="I32" s="11"/>
    </row>
    <row r="33" ht="12.75" customHeight="1">
      <c r="A33" s="15" t="s">
        <v>116</v>
      </c>
      <c r="B33" s="15" t="s">
        <v>117</v>
      </c>
      <c r="C33" s="15" t="s">
        <v>118</v>
      </c>
      <c r="D33" s="16" t="s">
        <v>11</v>
      </c>
      <c r="E33" s="9" t="s">
        <v>28</v>
      </c>
      <c r="F33" s="10"/>
      <c r="G33" s="11">
        <f>COUNTIF(Schedule!A:G,C33)</f>
        <v>1</v>
      </c>
      <c r="H33" s="11"/>
      <c r="I33" s="11"/>
    </row>
    <row r="34" ht="60.0" customHeight="1">
      <c r="A34" s="15" t="s">
        <v>119</v>
      </c>
      <c r="B34" s="15" t="s">
        <v>120</v>
      </c>
      <c r="C34" s="15" t="s">
        <v>121</v>
      </c>
      <c r="D34" s="16" t="s">
        <v>23</v>
      </c>
      <c r="E34" s="9" t="s">
        <v>18</v>
      </c>
      <c r="F34" s="17" t="s">
        <v>61</v>
      </c>
      <c r="G34" s="11">
        <f>COUNTIF(Schedule!A:G,C34)</f>
        <v>1</v>
      </c>
      <c r="H34" s="12"/>
      <c r="I34" s="11"/>
    </row>
    <row r="35" ht="60.0" customHeight="1">
      <c r="A35" s="15" t="s">
        <v>122</v>
      </c>
      <c r="B35" s="15" t="s">
        <v>123</v>
      </c>
      <c r="C35" s="15" t="s">
        <v>124</v>
      </c>
      <c r="D35" s="16" t="s">
        <v>11</v>
      </c>
      <c r="E35" s="9" t="s">
        <v>18</v>
      </c>
      <c r="F35" s="10"/>
      <c r="G35" s="11">
        <f>COUNTIF(Schedule!A:G,C35)</f>
        <v>1</v>
      </c>
      <c r="H35" s="11"/>
      <c r="I35" s="11"/>
    </row>
    <row r="36" ht="12.75" customHeight="1">
      <c r="A36" s="15" t="s">
        <v>125</v>
      </c>
      <c r="B36" s="15" t="s">
        <v>126</v>
      </c>
      <c r="C36" s="15" t="s">
        <v>127</v>
      </c>
      <c r="D36" s="16" t="s">
        <v>14</v>
      </c>
      <c r="E36" s="9" t="s">
        <v>18</v>
      </c>
      <c r="F36" s="10"/>
      <c r="G36" s="11">
        <f>COUNTIF(Schedule!A:G,C36)</f>
        <v>1</v>
      </c>
      <c r="H36" s="11"/>
      <c r="I36" s="11"/>
    </row>
    <row r="37" ht="12.75" customHeight="1">
      <c r="A37" s="15" t="s">
        <v>128</v>
      </c>
      <c r="B37" s="15" t="s">
        <v>129</v>
      </c>
      <c r="C37" s="15" t="s">
        <v>130</v>
      </c>
      <c r="D37" s="16" t="s">
        <v>23</v>
      </c>
      <c r="E37" s="9" t="s">
        <v>18</v>
      </c>
      <c r="F37" s="17" t="s">
        <v>61</v>
      </c>
      <c r="G37" s="11">
        <f>COUNTIF(Schedule!A:G,C37)</f>
        <v>1</v>
      </c>
      <c r="H37" s="12"/>
      <c r="I37" s="11"/>
    </row>
    <row r="38" ht="12.75" customHeight="1">
      <c r="A38" s="15" t="s">
        <v>131</v>
      </c>
      <c r="B38" s="15" t="s">
        <v>132</v>
      </c>
      <c r="C38" s="15" t="s">
        <v>133</v>
      </c>
      <c r="D38" s="16" t="s">
        <v>14</v>
      </c>
      <c r="E38" s="9" t="s">
        <v>18</v>
      </c>
      <c r="F38" s="10"/>
      <c r="G38" s="11">
        <f>COUNTIF(Schedule!A:G,C38)</f>
        <v>1</v>
      </c>
      <c r="H38" s="11"/>
      <c r="I38" s="11"/>
    </row>
    <row r="39" ht="12.75" customHeight="1">
      <c r="A39" s="7" t="s">
        <v>134</v>
      </c>
      <c r="B39" s="7" t="s">
        <v>135</v>
      </c>
      <c r="C39" s="7" t="s">
        <v>136</v>
      </c>
      <c r="D39" s="8" t="s">
        <v>11</v>
      </c>
      <c r="E39" s="9" t="s">
        <v>18</v>
      </c>
      <c r="F39" s="10"/>
      <c r="G39" s="11">
        <f>COUNTIF(Schedule!A:G,C39)</f>
        <v>1</v>
      </c>
      <c r="H39" s="11"/>
      <c r="I39" s="11"/>
    </row>
    <row r="40" ht="12.75" customHeight="1">
      <c r="A40" s="7" t="s">
        <v>137</v>
      </c>
      <c r="B40" s="7" t="s">
        <v>138</v>
      </c>
      <c r="C40" s="7" t="s">
        <v>139</v>
      </c>
      <c r="D40" s="8" t="s">
        <v>11</v>
      </c>
      <c r="E40" s="9" t="s">
        <v>51</v>
      </c>
      <c r="F40" s="10"/>
      <c r="G40" s="11">
        <f>COUNTIF(Schedule!A:G,C40)</f>
        <v>1</v>
      </c>
      <c r="H40" s="11"/>
    </row>
    <row r="41" ht="12.75" customHeight="1">
      <c r="A41" s="15" t="s">
        <v>140</v>
      </c>
      <c r="B41" s="15" t="s">
        <v>141</v>
      </c>
      <c r="C41" s="15" t="s">
        <v>142</v>
      </c>
      <c r="D41" s="16" t="s">
        <v>11</v>
      </c>
      <c r="E41" s="9" t="s">
        <v>51</v>
      </c>
      <c r="F41" s="10"/>
      <c r="G41" s="11">
        <f>COUNTIF(Schedule!A:G,C41)</f>
        <v>1</v>
      </c>
      <c r="H41" s="11"/>
    </row>
    <row r="42" ht="12.75" customHeight="1">
      <c r="A42" s="15" t="s">
        <v>143</v>
      </c>
      <c r="B42" s="15" t="s">
        <v>144</v>
      </c>
      <c r="C42" s="15" t="s">
        <v>145</v>
      </c>
      <c r="D42" s="16" t="s">
        <v>11</v>
      </c>
      <c r="E42" s="9" t="s">
        <v>12</v>
      </c>
      <c r="F42" s="10"/>
      <c r="G42" s="11">
        <f>COUNTIF(Schedule!A:G,C42)</f>
        <v>1</v>
      </c>
      <c r="H42" s="11"/>
      <c r="I42" s="11"/>
    </row>
    <row r="43" ht="12.75" customHeight="1">
      <c r="A43" s="15" t="s">
        <v>146</v>
      </c>
      <c r="B43" s="15" t="s">
        <v>147</v>
      </c>
      <c r="C43" s="15" t="s">
        <v>148</v>
      </c>
      <c r="D43" s="16" t="s">
        <v>11</v>
      </c>
      <c r="E43" s="9" t="s">
        <v>51</v>
      </c>
      <c r="F43" s="10"/>
      <c r="G43" s="11">
        <f>COUNTIF(Schedule!A:G,C43)</f>
        <v>1</v>
      </c>
      <c r="H43" s="11"/>
      <c r="I43" s="11"/>
    </row>
    <row r="44" ht="12.75" customHeight="1">
      <c r="A44" s="15" t="s">
        <v>149</v>
      </c>
      <c r="B44" s="15" t="s">
        <v>150</v>
      </c>
      <c r="C44" s="15" t="s">
        <v>151</v>
      </c>
      <c r="D44" s="16" t="s">
        <v>11</v>
      </c>
      <c r="E44" s="9" t="s">
        <v>51</v>
      </c>
      <c r="F44" s="10"/>
      <c r="G44" s="11">
        <f>COUNTIF(Schedule!A:G,C44)</f>
        <v>1</v>
      </c>
      <c r="H44" s="11"/>
      <c r="I44" s="11"/>
    </row>
    <row r="45" ht="12.75" customHeight="1">
      <c r="A45" s="15" t="s">
        <v>152</v>
      </c>
      <c r="B45" s="15" t="s">
        <v>153</v>
      </c>
      <c r="C45" s="15" t="s">
        <v>154</v>
      </c>
      <c r="D45" s="16" t="s">
        <v>11</v>
      </c>
      <c r="E45" s="9" t="s">
        <v>51</v>
      </c>
      <c r="F45" s="10"/>
      <c r="G45" s="11">
        <f>COUNTIF(Schedule!A:G,C45)</f>
        <v>1</v>
      </c>
      <c r="H45" s="11"/>
      <c r="I45" s="11"/>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G1:G1000">
    <cfRule type="cellIs" dxfId="0" priority="1" operator="equal">
      <formula>1</formula>
    </cfRule>
  </conditionalFormatting>
  <conditionalFormatting sqref="F1:F1000">
    <cfRule type="notContainsBlanks" dxfId="1" priority="2">
      <formula>LEN(TRIM(F1))&gt;0</formula>
    </cfRule>
  </conditionalFormatting>
  <conditionalFormatting sqref="G1:G1000">
    <cfRule type="cellIs" dxfId="2" priority="3" operator="greaterThan">
      <formul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2" width="10.38"/>
    <col customWidth="1" min="3" max="7" width="25.13"/>
  </cols>
  <sheetData>
    <row r="1">
      <c r="A1" s="18" t="s">
        <v>155</v>
      </c>
      <c r="B1" s="19" t="s">
        <v>156</v>
      </c>
      <c r="C1" s="19" t="s">
        <v>157</v>
      </c>
      <c r="D1" s="19" t="s">
        <v>158</v>
      </c>
      <c r="E1" s="19" t="s">
        <v>159</v>
      </c>
      <c r="F1" s="19" t="s">
        <v>160</v>
      </c>
      <c r="G1" s="19" t="s">
        <v>161</v>
      </c>
      <c r="H1" s="20"/>
      <c r="I1" s="20"/>
      <c r="J1" s="20"/>
      <c r="K1" s="20"/>
      <c r="L1" s="20"/>
      <c r="M1" s="20"/>
      <c r="N1" s="20"/>
      <c r="O1" s="20"/>
      <c r="P1" s="20"/>
      <c r="Q1" s="20"/>
      <c r="R1" s="20"/>
      <c r="S1" s="20"/>
      <c r="T1" s="20"/>
      <c r="U1" s="20"/>
      <c r="V1" s="20"/>
      <c r="W1" s="20"/>
      <c r="X1" s="20"/>
      <c r="Y1" s="20"/>
      <c r="Z1" s="20"/>
    </row>
    <row r="2">
      <c r="A2" s="21"/>
      <c r="B2" s="22" t="s">
        <v>162</v>
      </c>
      <c r="C2" s="22" t="s">
        <v>163</v>
      </c>
      <c r="D2" s="22" t="s">
        <v>164</v>
      </c>
      <c r="E2" s="22" t="s">
        <v>165</v>
      </c>
      <c r="F2" s="22" t="s">
        <v>166</v>
      </c>
      <c r="G2" s="22" t="s">
        <v>167</v>
      </c>
      <c r="H2" s="20"/>
      <c r="I2" s="20"/>
      <c r="J2" s="20"/>
      <c r="K2" s="20"/>
      <c r="L2" s="20"/>
      <c r="M2" s="20"/>
      <c r="N2" s="20"/>
      <c r="O2" s="20"/>
      <c r="P2" s="20"/>
      <c r="Q2" s="20"/>
      <c r="R2" s="20"/>
      <c r="S2" s="20"/>
      <c r="T2" s="20"/>
      <c r="U2" s="20"/>
      <c r="V2" s="20"/>
      <c r="W2" s="20"/>
      <c r="X2" s="20"/>
      <c r="Y2" s="20"/>
      <c r="Z2" s="20"/>
    </row>
    <row r="3">
      <c r="A3" s="23">
        <v>0.3333333333333333</v>
      </c>
      <c r="B3" s="21"/>
      <c r="C3" s="21"/>
      <c r="D3" s="21"/>
      <c r="E3" s="21"/>
      <c r="F3" s="21"/>
      <c r="G3" s="21"/>
      <c r="H3" s="20"/>
      <c r="I3" s="20"/>
      <c r="J3" s="20"/>
      <c r="K3" s="20"/>
      <c r="L3" s="20"/>
      <c r="M3" s="20"/>
      <c r="N3" s="20"/>
      <c r="O3" s="20"/>
      <c r="P3" s="20"/>
      <c r="Q3" s="20"/>
      <c r="R3" s="20"/>
      <c r="S3" s="20"/>
      <c r="T3" s="20"/>
      <c r="U3" s="20"/>
      <c r="V3" s="20"/>
      <c r="W3" s="20"/>
      <c r="X3" s="20"/>
      <c r="Y3" s="20"/>
      <c r="Z3" s="20"/>
    </row>
    <row r="4">
      <c r="A4" s="23">
        <v>0.34375</v>
      </c>
      <c r="B4" s="21"/>
      <c r="C4" s="21"/>
      <c r="D4" s="22"/>
      <c r="E4" s="21"/>
      <c r="F4" s="21"/>
      <c r="G4" s="21"/>
      <c r="H4" s="20"/>
      <c r="I4" s="20"/>
      <c r="J4" s="20"/>
      <c r="K4" s="20"/>
      <c r="L4" s="20"/>
      <c r="M4" s="20"/>
      <c r="N4" s="20"/>
      <c r="O4" s="20"/>
      <c r="P4" s="20"/>
      <c r="Q4" s="20"/>
      <c r="R4" s="20"/>
      <c r="S4" s="20"/>
      <c r="T4" s="20"/>
      <c r="U4" s="20"/>
      <c r="V4" s="20"/>
      <c r="W4" s="20"/>
      <c r="X4" s="20"/>
      <c r="Y4" s="20"/>
      <c r="Z4" s="20"/>
    </row>
    <row r="5">
      <c r="A5" s="23">
        <v>0.3541666666666667</v>
      </c>
      <c r="B5" s="24"/>
      <c r="C5" s="24"/>
      <c r="D5" s="24"/>
      <c r="E5" s="24"/>
      <c r="F5" s="24"/>
      <c r="G5" s="24"/>
      <c r="H5" s="20"/>
      <c r="I5" s="20"/>
      <c r="J5" s="20"/>
      <c r="K5" s="20"/>
      <c r="L5" s="20"/>
      <c r="M5" s="20"/>
      <c r="N5" s="20"/>
      <c r="O5" s="20"/>
      <c r="P5" s="20"/>
      <c r="Q5" s="20"/>
      <c r="R5" s="20"/>
      <c r="S5" s="20"/>
      <c r="T5" s="20"/>
      <c r="U5" s="20"/>
      <c r="V5" s="20"/>
      <c r="W5" s="20"/>
      <c r="X5" s="20"/>
      <c r="Y5" s="20"/>
      <c r="Z5" s="20"/>
    </row>
    <row r="6">
      <c r="A6" s="23">
        <v>0.3645833333333333</v>
      </c>
      <c r="B6" s="24"/>
      <c r="C6" s="25" t="s">
        <v>168</v>
      </c>
      <c r="D6" s="24"/>
      <c r="E6" s="24"/>
      <c r="F6" s="24"/>
      <c r="G6" s="24"/>
      <c r="H6" s="20"/>
      <c r="I6" s="20"/>
      <c r="J6" s="20"/>
      <c r="K6" s="20"/>
      <c r="L6" s="20"/>
      <c r="M6" s="20"/>
      <c r="N6" s="20"/>
      <c r="O6" s="20"/>
      <c r="P6" s="20"/>
      <c r="Q6" s="20"/>
      <c r="R6" s="20"/>
      <c r="S6" s="20"/>
      <c r="T6" s="20"/>
      <c r="U6" s="20"/>
      <c r="V6" s="20"/>
      <c r="W6" s="20"/>
      <c r="X6" s="20"/>
      <c r="Y6" s="20"/>
      <c r="Z6" s="20"/>
    </row>
    <row r="7">
      <c r="A7" s="23">
        <v>0.375</v>
      </c>
      <c r="B7" s="26" t="s">
        <v>169</v>
      </c>
      <c r="C7" s="27" t="s">
        <v>170</v>
      </c>
      <c r="D7" s="27" t="s">
        <v>170</v>
      </c>
      <c r="E7" s="27" t="s">
        <v>170</v>
      </c>
      <c r="F7" s="27" t="s">
        <v>170</v>
      </c>
      <c r="G7" s="27" t="s">
        <v>170</v>
      </c>
      <c r="H7" s="20"/>
      <c r="I7" s="20"/>
      <c r="J7" s="20"/>
      <c r="K7" s="20"/>
      <c r="L7" s="20"/>
      <c r="M7" s="20"/>
      <c r="N7" s="20"/>
      <c r="O7" s="20"/>
      <c r="P7" s="20"/>
      <c r="Q7" s="20"/>
      <c r="R7" s="20"/>
      <c r="S7" s="20"/>
      <c r="T7" s="20"/>
      <c r="U7" s="20"/>
      <c r="V7" s="20"/>
      <c r="W7" s="20"/>
      <c r="X7" s="20"/>
      <c r="Y7" s="20"/>
      <c r="Z7" s="20"/>
    </row>
    <row r="8">
      <c r="A8" s="23">
        <v>0.3854166666666667</v>
      </c>
      <c r="B8" s="28"/>
      <c r="C8" s="29" t="s">
        <v>171</v>
      </c>
      <c r="D8" s="29" t="s">
        <v>172</v>
      </c>
      <c r="E8" s="29" t="s">
        <v>173</v>
      </c>
      <c r="F8" s="29" t="s">
        <v>174</v>
      </c>
      <c r="G8" s="29" t="s">
        <v>175</v>
      </c>
      <c r="H8" s="20"/>
      <c r="I8" s="20"/>
      <c r="J8" s="20"/>
      <c r="K8" s="20"/>
      <c r="L8" s="20"/>
      <c r="M8" s="20"/>
      <c r="N8" s="20"/>
      <c r="O8" s="20"/>
      <c r="P8" s="20"/>
      <c r="Q8" s="20"/>
      <c r="R8" s="20"/>
      <c r="S8" s="20"/>
      <c r="T8" s="20"/>
      <c r="U8" s="20"/>
      <c r="V8" s="20"/>
      <c r="W8" s="20"/>
      <c r="X8" s="20"/>
      <c r="Y8" s="20"/>
      <c r="Z8" s="20"/>
    </row>
    <row r="9">
      <c r="A9" s="23">
        <v>0.3958333333333333</v>
      </c>
      <c r="B9" s="28"/>
      <c r="C9" s="29" t="s">
        <v>176</v>
      </c>
      <c r="D9" s="29" t="s">
        <v>176</v>
      </c>
      <c r="E9" s="29" t="s">
        <v>176</v>
      </c>
      <c r="F9" s="29" t="s">
        <v>176</v>
      </c>
      <c r="G9" s="29" t="s">
        <v>176</v>
      </c>
      <c r="H9" s="20"/>
      <c r="I9" s="20"/>
      <c r="J9" s="20"/>
      <c r="K9" s="20"/>
      <c r="L9" s="20"/>
      <c r="M9" s="20"/>
      <c r="N9" s="20"/>
      <c r="O9" s="20"/>
      <c r="P9" s="20"/>
      <c r="Q9" s="20"/>
      <c r="R9" s="20"/>
      <c r="S9" s="20"/>
      <c r="T9" s="20"/>
      <c r="U9" s="20"/>
      <c r="V9" s="20"/>
      <c r="W9" s="20"/>
      <c r="X9" s="20"/>
      <c r="Y9" s="20"/>
      <c r="Z9" s="20"/>
    </row>
    <row r="10">
      <c r="A10" s="23">
        <v>0.40625</v>
      </c>
      <c r="B10" s="28"/>
      <c r="C10" s="29"/>
      <c r="D10" s="29"/>
      <c r="E10" s="29"/>
      <c r="F10" s="29"/>
      <c r="G10" s="29"/>
      <c r="H10" s="20"/>
      <c r="I10" s="20"/>
      <c r="J10" s="20"/>
      <c r="K10" s="20"/>
      <c r="L10" s="20"/>
      <c r="M10" s="20"/>
      <c r="N10" s="20"/>
      <c r="O10" s="20"/>
      <c r="P10" s="20"/>
      <c r="Q10" s="20"/>
      <c r="R10" s="20"/>
      <c r="S10" s="20"/>
      <c r="T10" s="20"/>
      <c r="U10" s="20"/>
      <c r="V10" s="20"/>
      <c r="W10" s="20"/>
      <c r="X10" s="20"/>
      <c r="Y10" s="20"/>
      <c r="Z10" s="20"/>
    </row>
    <row r="11">
      <c r="A11" s="23">
        <v>0.4166666666666667</v>
      </c>
      <c r="B11" s="28"/>
      <c r="C11" s="30" t="s">
        <v>100</v>
      </c>
      <c r="D11" s="31" t="s">
        <v>112</v>
      </c>
      <c r="E11" s="31" t="s">
        <v>97</v>
      </c>
      <c r="F11" s="31" t="s">
        <v>73</v>
      </c>
      <c r="G11" s="31" t="s">
        <v>21</v>
      </c>
      <c r="H11" s="20"/>
      <c r="I11" s="20"/>
      <c r="J11" s="20"/>
      <c r="K11" s="20"/>
      <c r="L11" s="20"/>
      <c r="M11" s="20"/>
      <c r="N11" s="20"/>
      <c r="O11" s="20"/>
      <c r="P11" s="20"/>
      <c r="Q11" s="20"/>
      <c r="R11" s="20"/>
      <c r="S11" s="20"/>
      <c r="T11" s="20"/>
      <c r="U11" s="20"/>
      <c r="V11" s="20"/>
      <c r="W11" s="20"/>
      <c r="X11" s="20"/>
      <c r="Y11" s="20"/>
      <c r="Z11" s="20"/>
    </row>
    <row r="12">
      <c r="A12" s="23">
        <v>0.4270833333333333</v>
      </c>
      <c r="B12" s="32"/>
      <c r="C12" s="33" t="s">
        <v>177</v>
      </c>
      <c r="D12" s="34"/>
      <c r="E12" s="34"/>
      <c r="F12" s="34"/>
      <c r="G12" s="34"/>
      <c r="H12" s="20"/>
      <c r="I12" s="20"/>
      <c r="J12" s="20"/>
      <c r="K12" s="20"/>
      <c r="L12" s="20"/>
      <c r="M12" s="20"/>
      <c r="N12" s="20"/>
      <c r="O12" s="20"/>
      <c r="P12" s="20"/>
      <c r="Q12" s="20"/>
      <c r="R12" s="20"/>
      <c r="S12" s="20"/>
      <c r="T12" s="20"/>
      <c r="U12" s="20"/>
      <c r="V12" s="20"/>
      <c r="W12" s="20"/>
      <c r="X12" s="20"/>
      <c r="Y12" s="20"/>
      <c r="Z12" s="20"/>
    </row>
    <row r="13">
      <c r="A13" s="23">
        <v>0.4375</v>
      </c>
      <c r="B13" s="21"/>
      <c r="C13" s="35" t="s">
        <v>103</v>
      </c>
      <c r="D13" s="31" t="s">
        <v>118</v>
      </c>
      <c r="E13" s="31" t="s">
        <v>94</v>
      </c>
      <c r="F13" s="31" t="s">
        <v>67</v>
      </c>
      <c r="G13" s="31" t="s">
        <v>10</v>
      </c>
      <c r="H13" s="20"/>
      <c r="I13" s="20"/>
      <c r="J13" s="20"/>
      <c r="K13" s="20"/>
      <c r="L13" s="20"/>
      <c r="M13" s="20"/>
      <c r="N13" s="20"/>
      <c r="O13" s="20"/>
      <c r="P13" s="20"/>
      <c r="Q13" s="20"/>
      <c r="R13" s="20"/>
      <c r="S13" s="20"/>
      <c r="T13" s="20"/>
      <c r="U13" s="20"/>
      <c r="V13" s="20"/>
      <c r="W13" s="20"/>
      <c r="X13" s="20"/>
      <c r="Y13" s="20"/>
      <c r="Z13" s="20"/>
    </row>
    <row r="14">
      <c r="A14" s="23">
        <v>0.4479166666666667</v>
      </c>
      <c r="B14" s="21"/>
      <c r="C14" s="34"/>
      <c r="D14" s="34"/>
      <c r="E14" s="34"/>
      <c r="F14" s="34"/>
      <c r="G14" s="34"/>
      <c r="H14" s="20"/>
      <c r="I14" s="20"/>
      <c r="J14" s="20"/>
      <c r="K14" s="20"/>
      <c r="L14" s="20"/>
      <c r="M14" s="20"/>
      <c r="N14" s="20"/>
      <c r="O14" s="20"/>
      <c r="P14" s="20"/>
      <c r="Q14" s="20"/>
      <c r="R14" s="20"/>
      <c r="S14" s="20"/>
      <c r="T14" s="20"/>
      <c r="U14" s="20"/>
      <c r="V14" s="20"/>
      <c r="W14" s="20"/>
      <c r="X14" s="20"/>
      <c r="Y14" s="20"/>
      <c r="Z14" s="20"/>
    </row>
    <row r="15">
      <c r="A15" s="23">
        <v>0.4583333333333333</v>
      </c>
      <c r="B15" s="26" t="s">
        <v>169</v>
      </c>
      <c r="C15" s="36"/>
      <c r="D15" s="36"/>
      <c r="E15" s="37" t="s">
        <v>178</v>
      </c>
      <c r="F15" s="36"/>
      <c r="G15" s="37"/>
      <c r="H15" s="20"/>
      <c r="I15" s="20"/>
      <c r="J15" s="20"/>
      <c r="K15" s="20"/>
      <c r="L15" s="20"/>
      <c r="M15" s="20"/>
      <c r="N15" s="20"/>
      <c r="O15" s="20"/>
      <c r="P15" s="20"/>
      <c r="Q15" s="20"/>
      <c r="R15" s="20"/>
      <c r="S15" s="20"/>
      <c r="T15" s="20"/>
      <c r="U15" s="20"/>
      <c r="V15" s="20"/>
      <c r="W15" s="20"/>
      <c r="X15" s="20"/>
      <c r="Y15" s="20"/>
      <c r="Z15" s="20"/>
    </row>
    <row r="16">
      <c r="A16" s="23">
        <v>0.46875</v>
      </c>
      <c r="B16" s="28"/>
      <c r="C16" s="36"/>
      <c r="D16" s="36"/>
      <c r="E16" s="36"/>
      <c r="F16" s="36"/>
      <c r="G16" s="36"/>
      <c r="H16" s="20"/>
      <c r="I16" s="20"/>
      <c r="J16" s="20"/>
      <c r="K16" s="20"/>
      <c r="L16" s="20"/>
      <c r="M16" s="20"/>
      <c r="N16" s="20"/>
      <c r="O16" s="20"/>
      <c r="P16" s="20"/>
      <c r="Q16" s="20"/>
      <c r="R16" s="20"/>
      <c r="S16" s="20"/>
      <c r="T16" s="20"/>
      <c r="U16" s="20"/>
      <c r="V16" s="20"/>
      <c r="W16" s="20"/>
      <c r="X16" s="20"/>
      <c r="Y16" s="20"/>
      <c r="Z16" s="20"/>
    </row>
    <row r="17">
      <c r="A17" s="23">
        <v>0.4791666666666667</v>
      </c>
      <c r="B17" s="28"/>
      <c r="C17" s="31" t="s">
        <v>139</v>
      </c>
      <c r="D17" s="38" t="s">
        <v>109</v>
      </c>
      <c r="E17" s="38" t="s">
        <v>91</v>
      </c>
      <c r="F17" s="31" t="s">
        <v>64</v>
      </c>
      <c r="G17" s="38" t="s">
        <v>133</v>
      </c>
      <c r="H17" s="20"/>
      <c r="J17" s="20"/>
      <c r="K17" s="20"/>
      <c r="L17" s="20"/>
      <c r="M17" s="20"/>
      <c r="N17" s="20"/>
      <c r="O17" s="20"/>
      <c r="P17" s="20"/>
      <c r="Q17" s="20"/>
      <c r="R17" s="20"/>
      <c r="S17" s="20"/>
      <c r="T17" s="20"/>
      <c r="U17" s="20"/>
      <c r="V17" s="20"/>
      <c r="W17" s="20"/>
      <c r="X17" s="20"/>
      <c r="Y17" s="20"/>
      <c r="Z17" s="20"/>
    </row>
    <row r="18">
      <c r="A18" s="23">
        <v>0.4895833333333333</v>
      </c>
      <c r="B18" s="28"/>
      <c r="C18" s="39"/>
      <c r="D18" s="40"/>
      <c r="E18" s="33" t="s">
        <v>177</v>
      </c>
      <c r="F18" s="34"/>
      <c r="G18" s="33" t="s">
        <v>177</v>
      </c>
      <c r="H18" s="20"/>
      <c r="J18" s="20"/>
      <c r="K18" s="20"/>
      <c r="L18" s="20"/>
      <c r="M18" s="20"/>
      <c r="N18" s="20"/>
      <c r="O18" s="20"/>
      <c r="P18" s="20"/>
      <c r="Q18" s="20"/>
      <c r="R18" s="20"/>
      <c r="S18" s="20"/>
      <c r="T18" s="20"/>
      <c r="U18" s="20"/>
      <c r="V18" s="20"/>
      <c r="W18" s="20"/>
      <c r="X18" s="20"/>
      <c r="Y18" s="20"/>
      <c r="Z18" s="20"/>
    </row>
    <row r="19">
      <c r="A19" s="23">
        <v>0.5</v>
      </c>
      <c r="B19" s="28"/>
      <c r="C19" s="31" t="s">
        <v>148</v>
      </c>
      <c r="D19" s="41" t="s">
        <v>115</v>
      </c>
      <c r="E19" s="42" t="s">
        <v>60</v>
      </c>
      <c r="F19" s="42" t="s">
        <v>82</v>
      </c>
      <c r="G19" s="42" t="s">
        <v>121</v>
      </c>
      <c r="J19" s="20"/>
      <c r="K19" s="20"/>
      <c r="L19" s="20"/>
      <c r="M19" s="20"/>
      <c r="N19" s="20"/>
      <c r="O19" s="20"/>
      <c r="P19" s="20"/>
      <c r="Q19" s="20"/>
      <c r="R19" s="20"/>
      <c r="S19" s="20"/>
      <c r="T19" s="20"/>
      <c r="U19" s="20"/>
      <c r="V19" s="20"/>
      <c r="W19" s="20"/>
      <c r="X19" s="20"/>
      <c r="Y19" s="20"/>
      <c r="Z19" s="20"/>
    </row>
    <row r="20">
      <c r="A20" s="23">
        <v>0.5104166666666666</v>
      </c>
      <c r="B20" s="32"/>
      <c r="C20" s="43"/>
      <c r="D20" s="34"/>
      <c r="E20" s="44" t="s">
        <v>88</v>
      </c>
      <c r="F20" s="45" t="s">
        <v>70</v>
      </c>
      <c r="G20" s="46" t="s">
        <v>130</v>
      </c>
      <c r="H20" s="20"/>
      <c r="J20" s="20"/>
      <c r="K20" s="20"/>
      <c r="L20" s="20"/>
      <c r="M20" s="20"/>
      <c r="N20" s="20"/>
      <c r="O20" s="20"/>
      <c r="P20" s="20"/>
      <c r="Q20" s="20"/>
      <c r="R20" s="20"/>
      <c r="S20" s="20"/>
      <c r="T20" s="20"/>
      <c r="U20" s="20"/>
      <c r="V20" s="20"/>
      <c r="W20" s="20"/>
      <c r="X20" s="20"/>
      <c r="Y20" s="20"/>
      <c r="Z20" s="20"/>
    </row>
    <row r="21">
      <c r="A21" s="23">
        <v>0.5208333333333334</v>
      </c>
      <c r="B21" s="21"/>
      <c r="C21" s="47"/>
      <c r="D21" s="48" t="s">
        <v>179</v>
      </c>
      <c r="E21" s="47"/>
      <c r="F21" s="47"/>
      <c r="G21" s="47"/>
      <c r="H21" s="20"/>
      <c r="I21" s="20"/>
      <c r="J21" s="20"/>
      <c r="K21" s="20"/>
      <c r="L21" s="20"/>
      <c r="M21" s="20"/>
      <c r="N21" s="20"/>
      <c r="O21" s="20"/>
      <c r="P21" s="20"/>
      <c r="Q21" s="20"/>
      <c r="R21" s="20"/>
      <c r="S21" s="20"/>
      <c r="T21" s="20"/>
      <c r="U21" s="20"/>
      <c r="V21" s="20"/>
      <c r="W21" s="20"/>
      <c r="X21" s="20"/>
      <c r="Y21" s="20"/>
      <c r="Z21" s="20"/>
    </row>
    <row r="22">
      <c r="A22" s="23">
        <v>0.53125</v>
      </c>
      <c r="B22" s="21"/>
      <c r="C22" s="47"/>
      <c r="D22" s="49"/>
      <c r="E22" s="47"/>
      <c r="F22" s="47"/>
      <c r="G22" s="47"/>
      <c r="H22" s="20"/>
      <c r="I22" s="20"/>
      <c r="J22" s="20"/>
      <c r="K22" s="20"/>
      <c r="L22" s="20"/>
      <c r="M22" s="20"/>
      <c r="N22" s="20"/>
      <c r="O22" s="20"/>
      <c r="P22" s="20"/>
      <c r="Q22" s="20"/>
      <c r="R22" s="20"/>
      <c r="S22" s="20"/>
      <c r="T22" s="20"/>
      <c r="U22" s="20"/>
      <c r="V22" s="20"/>
      <c r="W22" s="20"/>
      <c r="X22" s="20"/>
      <c r="Y22" s="20"/>
      <c r="Z22" s="20"/>
    </row>
    <row r="23">
      <c r="A23" s="23">
        <v>0.5416666666666666</v>
      </c>
      <c r="B23" s="26" t="s">
        <v>169</v>
      </c>
      <c r="C23" s="50" t="s">
        <v>180</v>
      </c>
      <c r="D23" s="47" t="s">
        <v>180</v>
      </c>
      <c r="E23" s="47" t="s">
        <v>180</v>
      </c>
      <c r="F23" s="47" t="s">
        <v>180</v>
      </c>
      <c r="G23" s="47" t="s">
        <v>180</v>
      </c>
      <c r="H23" s="20"/>
      <c r="I23" s="20"/>
      <c r="J23" s="20"/>
      <c r="K23" s="20"/>
      <c r="L23" s="20"/>
      <c r="M23" s="20"/>
      <c r="N23" s="20"/>
      <c r="O23" s="20"/>
      <c r="P23" s="20"/>
      <c r="Q23" s="20"/>
      <c r="R23" s="20"/>
      <c r="S23" s="20"/>
      <c r="T23" s="20"/>
      <c r="U23" s="20"/>
      <c r="V23" s="20"/>
      <c r="W23" s="20"/>
      <c r="X23" s="20"/>
      <c r="Y23" s="20"/>
      <c r="Z23" s="20"/>
    </row>
    <row r="24">
      <c r="A24" s="23">
        <v>0.5520833333333334</v>
      </c>
      <c r="B24" s="28"/>
      <c r="C24" s="47"/>
      <c r="D24" s="47"/>
      <c r="E24" s="47"/>
      <c r="F24" s="47"/>
      <c r="G24" s="47"/>
      <c r="H24" s="20"/>
      <c r="I24" s="20"/>
      <c r="J24" s="20"/>
      <c r="K24" s="20"/>
      <c r="L24" s="20"/>
      <c r="M24" s="20"/>
      <c r="N24" s="20"/>
      <c r="O24" s="20"/>
      <c r="P24" s="20"/>
      <c r="Q24" s="20"/>
      <c r="R24" s="20"/>
      <c r="S24" s="20"/>
      <c r="T24" s="20"/>
      <c r="U24" s="20"/>
      <c r="V24" s="20"/>
      <c r="W24" s="20"/>
      <c r="X24" s="20"/>
      <c r="Y24" s="20"/>
      <c r="Z24" s="20"/>
    </row>
    <row r="25">
      <c r="A25" s="23">
        <v>0.5625</v>
      </c>
      <c r="B25" s="28"/>
      <c r="C25" s="47"/>
      <c r="D25" s="47"/>
      <c r="E25" s="47"/>
      <c r="F25" s="47"/>
      <c r="G25" s="47"/>
      <c r="H25" s="20"/>
      <c r="I25" s="20"/>
      <c r="J25" s="20"/>
      <c r="K25" s="20"/>
      <c r="L25" s="20"/>
      <c r="M25" s="20"/>
      <c r="N25" s="20"/>
      <c r="O25" s="20"/>
      <c r="P25" s="20"/>
      <c r="Q25" s="20"/>
      <c r="R25" s="20"/>
      <c r="S25" s="20"/>
      <c r="T25" s="20"/>
      <c r="U25" s="20"/>
      <c r="V25" s="20"/>
      <c r="W25" s="20"/>
      <c r="X25" s="20"/>
      <c r="Y25" s="20"/>
      <c r="Z25" s="20"/>
    </row>
    <row r="26">
      <c r="A26" s="23">
        <v>0.5729166666666666</v>
      </c>
      <c r="B26" s="28"/>
      <c r="C26" s="47"/>
      <c r="D26" s="47"/>
      <c r="E26" s="47"/>
      <c r="F26" s="47"/>
      <c r="G26" s="47"/>
      <c r="H26" s="20"/>
      <c r="I26" s="20"/>
      <c r="J26" s="20"/>
      <c r="K26" s="20"/>
      <c r="L26" s="20"/>
      <c r="M26" s="20"/>
      <c r="N26" s="20"/>
      <c r="O26" s="20"/>
      <c r="P26" s="20"/>
      <c r="Q26" s="20"/>
      <c r="R26" s="20"/>
      <c r="S26" s="20"/>
      <c r="T26" s="20"/>
      <c r="U26" s="20"/>
      <c r="V26" s="20"/>
      <c r="W26" s="20"/>
      <c r="X26" s="20"/>
      <c r="Y26" s="20"/>
      <c r="Z26" s="20"/>
    </row>
    <row r="27">
      <c r="A27" s="23">
        <v>0.5833333333333334</v>
      </c>
      <c r="B27" s="28"/>
      <c r="C27" s="35" t="s">
        <v>47</v>
      </c>
      <c r="D27" s="35" t="s">
        <v>124</v>
      </c>
      <c r="E27" s="31" t="s">
        <v>54</v>
      </c>
      <c r="F27" s="31" t="s">
        <v>76</v>
      </c>
      <c r="G27" s="31" t="s">
        <v>145</v>
      </c>
      <c r="H27" s="20"/>
      <c r="J27" s="20"/>
      <c r="K27" s="20"/>
      <c r="L27" s="20"/>
      <c r="M27" s="20"/>
      <c r="N27" s="20"/>
      <c r="O27" s="20"/>
      <c r="P27" s="20"/>
      <c r="Q27" s="20"/>
      <c r="R27" s="20"/>
      <c r="S27" s="20"/>
      <c r="T27" s="20"/>
      <c r="U27" s="20"/>
      <c r="V27" s="20"/>
      <c r="W27" s="20"/>
      <c r="X27" s="20"/>
      <c r="Y27" s="20"/>
      <c r="Z27" s="20"/>
    </row>
    <row r="28">
      <c r="A28" s="23">
        <v>0.59375</v>
      </c>
      <c r="B28" s="32"/>
      <c r="C28" s="34"/>
      <c r="D28" s="34"/>
      <c r="E28" s="34"/>
      <c r="F28" s="34"/>
      <c r="G28" s="34"/>
      <c r="H28" s="20"/>
      <c r="J28" s="20"/>
      <c r="K28" s="20"/>
      <c r="L28" s="20"/>
      <c r="M28" s="20"/>
      <c r="N28" s="20"/>
      <c r="O28" s="20"/>
      <c r="P28" s="20"/>
      <c r="Q28" s="20"/>
      <c r="R28" s="20"/>
      <c r="S28" s="20"/>
      <c r="T28" s="20"/>
      <c r="U28" s="20"/>
      <c r="V28" s="20"/>
      <c r="W28" s="20"/>
      <c r="X28" s="20"/>
      <c r="Y28" s="20"/>
      <c r="Z28" s="20"/>
    </row>
    <row r="29">
      <c r="A29" s="23">
        <v>0.6041666666666666</v>
      </c>
      <c r="B29" s="21"/>
      <c r="C29" s="30" t="s">
        <v>50</v>
      </c>
      <c r="D29" s="51" t="s">
        <v>151</v>
      </c>
      <c r="E29" s="38" t="s">
        <v>43</v>
      </c>
      <c r="F29" s="31" t="s">
        <v>79</v>
      </c>
      <c r="G29" s="31" t="s">
        <v>17</v>
      </c>
      <c r="J29" s="20"/>
      <c r="K29" s="20"/>
      <c r="L29" s="20"/>
      <c r="M29" s="20"/>
      <c r="N29" s="20"/>
      <c r="O29" s="20"/>
      <c r="P29" s="20"/>
      <c r="Q29" s="20"/>
      <c r="R29" s="20"/>
      <c r="S29" s="20"/>
      <c r="T29" s="20"/>
      <c r="U29" s="20"/>
      <c r="V29" s="20"/>
      <c r="W29" s="20"/>
      <c r="X29" s="20"/>
      <c r="Y29" s="20"/>
      <c r="Z29" s="20"/>
    </row>
    <row r="30">
      <c r="A30" s="23">
        <v>0.6145833333333334</v>
      </c>
      <c r="B30" s="21"/>
      <c r="C30" s="33" t="s">
        <v>177</v>
      </c>
      <c r="D30" s="34"/>
      <c r="E30" s="33" t="s">
        <v>177</v>
      </c>
      <c r="F30" s="34"/>
      <c r="G30" s="34"/>
      <c r="H30" s="20"/>
      <c r="J30" s="20"/>
      <c r="K30" s="20"/>
      <c r="L30" s="20"/>
      <c r="M30" s="20"/>
      <c r="N30" s="20"/>
      <c r="O30" s="20"/>
      <c r="P30" s="20"/>
      <c r="Q30" s="20"/>
      <c r="R30" s="20"/>
      <c r="S30" s="20"/>
      <c r="T30" s="20"/>
      <c r="U30" s="20"/>
      <c r="V30" s="20"/>
      <c r="W30" s="20"/>
      <c r="X30" s="20"/>
      <c r="Y30" s="20"/>
      <c r="Z30" s="20"/>
    </row>
    <row r="31">
      <c r="A31" s="23">
        <v>0.625</v>
      </c>
      <c r="B31" s="26" t="s">
        <v>169</v>
      </c>
      <c r="C31" s="52" t="s">
        <v>57</v>
      </c>
      <c r="D31" s="31" t="s">
        <v>31</v>
      </c>
      <c r="E31" s="38" t="s">
        <v>40</v>
      </c>
      <c r="F31" s="53" t="s">
        <v>106</v>
      </c>
      <c r="G31" s="31" t="s">
        <v>154</v>
      </c>
      <c r="H31" s="20"/>
      <c r="I31" s="20"/>
      <c r="J31" s="20"/>
      <c r="K31" s="20"/>
      <c r="L31" s="20"/>
      <c r="M31" s="20"/>
      <c r="N31" s="20"/>
      <c r="O31" s="20"/>
      <c r="P31" s="20"/>
      <c r="Q31" s="20"/>
      <c r="R31" s="20"/>
      <c r="S31" s="20"/>
      <c r="T31" s="20"/>
      <c r="U31" s="20"/>
      <c r="V31" s="20"/>
      <c r="W31" s="20"/>
      <c r="X31" s="20"/>
      <c r="Y31" s="20"/>
      <c r="Z31" s="20"/>
    </row>
    <row r="32">
      <c r="A32" s="23">
        <v>0.6354166666666666</v>
      </c>
      <c r="B32" s="28"/>
      <c r="C32" s="34"/>
      <c r="D32" s="34"/>
      <c r="E32" s="33" t="s">
        <v>177</v>
      </c>
      <c r="F32" s="34"/>
      <c r="G32" s="34"/>
      <c r="H32" s="20"/>
      <c r="I32" s="20"/>
      <c r="J32" s="20"/>
      <c r="K32" s="20"/>
      <c r="L32" s="20"/>
      <c r="M32" s="20"/>
      <c r="N32" s="20"/>
      <c r="O32" s="20"/>
      <c r="P32" s="20"/>
      <c r="Q32" s="20"/>
      <c r="R32" s="20"/>
      <c r="S32" s="20"/>
      <c r="T32" s="20"/>
      <c r="U32" s="20"/>
      <c r="V32" s="20"/>
      <c r="W32" s="20"/>
      <c r="X32" s="20"/>
      <c r="Y32" s="20"/>
      <c r="Z32" s="20"/>
    </row>
    <row r="33">
      <c r="A33" s="23">
        <v>0.6458333333333334</v>
      </c>
      <c r="B33" s="28"/>
      <c r="C33" s="36"/>
      <c r="D33" s="36"/>
      <c r="E33" s="37" t="s">
        <v>178</v>
      </c>
      <c r="F33" s="36"/>
      <c r="G33" s="37"/>
      <c r="H33" s="20"/>
      <c r="I33" s="20"/>
      <c r="J33" s="20"/>
      <c r="K33" s="20"/>
      <c r="L33" s="20"/>
      <c r="M33" s="20"/>
      <c r="N33" s="20"/>
      <c r="O33" s="20"/>
      <c r="P33" s="20"/>
      <c r="Q33" s="20"/>
      <c r="R33" s="20"/>
      <c r="S33" s="20"/>
      <c r="T33" s="20"/>
      <c r="U33" s="20"/>
      <c r="V33" s="20"/>
      <c r="W33" s="20"/>
      <c r="X33" s="20"/>
      <c r="Y33" s="20"/>
      <c r="Z33" s="20"/>
    </row>
    <row r="34">
      <c r="A34" s="23">
        <v>0.65625</v>
      </c>
      <c r="B34" s="28"/>
      <c r="C34" s="36"/>
      <c r="D34" s="36"/>
      <c r="E34" s="36"/>
      <c r="F34" s="36"/>
      <c r="G34" s="36"/>
      <c r="H34" s="20"/>
      <c r="I34" s="20"/>
      <c r="J34" s="20"/>
      <c r="K34" s="20"/>
      <c r="L34" s="20"/>
      <c r="M34" s="20"/>
      <c r="N34" s="20"/>
      <c r="O34" s="20"/>
      <c r="P34" s="20"/>
      <c r="Q34" s="20"/>
      <c r="R34" s="20"/>
      <c r="S34" s="20"/>
      <c r="T34" s="20"/>
      <c r="U34" s="20"/>
      <c r="V34" s="20"/>
      <c r="W34" s="20"/>
      <c r="X34" s="20"/>
      <c r="Y34" s="20"/>
      <c r="Z34" s="20"/>
    </row>
    <row r="35">
      <c r="A35" s="23">
        <v>0.6666666666666666</v>
      </c>
      <c r="B35" s="28"/>
      <c r="C35" s="38" t="s">
        <v>127</v>
      </c>
      <c r="D35" s="27" t="s">
        <v>181</v>
      </c>
      <c r="E35" s="31" t="s">
        <v>36</v>
      </c>
      <c r="F35" s="27" t="s">
        <v>181</v>
      </c>
      <c r="G35" s="51" t="s">
        <v>26</v>
      </c>
      <c r="H35" s="54"/>
      <c r="I35" s="20"/>
      <c r="J35" s="20"/>
      <c r="K35" s="20"/>
      <c r="L35" s="20"/>
      <c r="M35" s="20"/>
      <c r="N35" s="20"/>
      <c r="O35" s="20"/>
      <c r="P35" s="20"/>
      <c r="Q35" s="20"/>
      <c r="R35" s="20"/>
      <c r="S35" s="20"/>
      <c r="T35" s="20"/>
      <c r="U35" s="20"/>
      <c r="V35" s="20"/>
      <c r="W35" s="20"/>
      <c r="X35" s="20"/>
      <c r="Y35" s="20"/>
      <c r="Z35" s="20"/>
    </row>
    <row r="36">
      <c r="A36" s="23">
        <v>0.6770833333333334</v>
      </c>
      <c r="B36" s="32"/>
      <c r="C36" s="33" t="s">
        <v>177</v>
      </c>
      <c r="D36" s="29" t="s">
        <v>182</v>
      </c>
      <c r="E36" s="34"/>
      <c r="F36" s="29" t="s">
        <v>183</v>
      </c>
      <c r="G36" s="34"/>
      <c r="H36" s="20"/>
      <c r="I36" s="20"/>
      <c r="J36" s="20"/>
      <c r="K36" s="20"/>
      <c r="L36" s="20"/>
      <c r="M36" s="20"/>
      <c r="N36" s="20"/>
      <c r="O36" s="20"/>
      <c r="P36" s="20"/>
      <c r="Q36" s="20"/>
      <c r="R36" s="20"/>
      <c r="S36" s="20"/>
      <c r="T36" s="20"/>
      <c r="U36" s="20"/>
      <c r="V36" s="20"/>
      <c r="W36" s="20"/>
      <c r="X36" s="20"/>
      <c r="Y36" s="20"/>
      <c r="Z36" s="20"/>
    </row>
    <row r="37">
      <c r="A37" s="23">
        <v>0.6875</v>
      </c>
      <c r="B37" s="21"/>
      <c r="C37" s="35" t="s">
        <v>136</v>
      </c>
      <c r="D37" s="29"/>
      <c r="E37" s="31" t="s">
        <v>85</v>
      </c>
      <c r="F37" s="29"/>
      <c r="G37" s="53" t="s">
        <v>142</v>
      </c>
      <c r="H37" s="20"/>
      <c r="I37" s="20"/>
      <c r="J37" s="20"/>
      <c r="K37" s="20"/>
      <c r="L37" s="20"/>
      <c r="M37" s="20"/>
      <c r="N37" s="20"/>
      <c r="O37" s="20"/>
      <c r="P37" s="20"/>
      <c r="Q37" s="20"/>
      <c r="R37" s="20"/>
      <c r="S37" s="20"/>
      <c r="T37" s="20"/>
      <c r="U37" s="20"/>
      <c r="V37" s="20"/>
      <c r="W37" s="20"/>
      <c r="X37" s="20"/>
      <c r="Y37" s="20"/>
      <c r="Z37" s="20"/>
    </row>
    <row r="38">
      <c r="A38" s="23">
        <v>0.6979166666666666</v>
      </c>
      <c r="B38" s="21"/>
      <c r="C38" s="34"/>
      <c r="D38" s="55"/>
      <c r="E38" s="34"/>
      <c r="F38" s="55"/>
      <c r="G38" s="34"/>
      <c r="H38" s="20"/>
      <c r="I38" s="20"/>
      <c r="J38" s="20"/>
      <c r="K38" s="20"/>
      <c r="L38" s="20"/>
      <c r="M38" s="20"/>
      <c r="N38" s="20"/>
      <c r="O38" s="20"/>
      <c r="P38" s="20"/>
      <c r="Q38" s="20"/>
      <c r="R38" s="20"/>
      <c r="S38" s="20"/>
      <c r="T38" s="20"/>
      <c r="U38" s="20"/>
      <c r="V38" s="20"/>
      <c r="W38" s="20"/>
      <c r="X38" s="20"/>
      <c r="Y38" s="20"/>
      <c r="Z38" s="20"/>
    </row>
    <row r="39">
      <c r="A39" s="23">
        <v>0.7083333333333334</v>
      </c>
      <c r="B39" s="21"/>
      <c r="C39" s="56"/>
      <c r="D39" s="26" t="s">
        <v>184</v>
      </c>
      <c r="E39" s="57" t="s">
        <v>185</v>
      </c>
      <c r="F39" s="26" t="s">
        <v>184</v>
      </c>
      <c r="G39" s="58" t="s">
        <v>186</v>
      </c>
      <c r="H39" s="20"/>
      <c r="I39" s="20"/>
      <c r="J39" s="20"/>
      <c r="K39" s="20"/>
      <c r="L39" s="20"/>
      <c r="M39" s="20"/>
      <c r="N39" s="20"/>
      <c r="O39" s="20"/>
      <c r="P39" s="20"/>
      <c r="Q39" s="20"/>
      <c r="R39" s="20"/>
      <c r="S39" s="20"/>
      <c r="T39" s="20"/>
      <c r="U39" s="20"/>
      <c r="V39" s="20"/>
      <c r="W39" s="20"/>
      <c r="X39" s="20"/>
      <c r="Y39" s="20"/>
      <c r="Z39" s="20"/>
    </row>
    <row r="40">
      <c r="A40" s="23">
        <v>0.71875</v>
      </c>
      <c r="B40" s="21"/>
      <c r="C40" s="59"/>
      <c r="D40" s="28"/>
      <c r="E40" s="60" t="s">
        <v>187</v>
      </c>
      <c r="F40" s="28"/>
      <c r="G40" s="61" t="s">
        <v>188</v>
      </c>
      <c r="H40" s="20"/>
      <c r="I40" s="20"/>
      <c r="J40" s="20"/>
      <c r="K40" s="20"/>
      <c r="L40" s="20"/>
      <c r="M40" s="20"/>
      <c r="N40" s="20"/>
      <c r="O40" s="20"/>
      <c r="P40" s="20"/>
      <c r="Q40" s="20"/>
      <c r="R40" s="20"/>
      <c r="S40" s="20"/>
      <c r="T40" s="20"/>
      <c r="U40" s="20"/>
      <c r="V40" s="20"/>
      <c r="W40" s="20"/>
      <c r="X40" s="20"/>
      <c r="Y40" s="20"/>
      <c r="Z40" s="20"/>
    </row>
    <row r="41">
      <c r="A41" s="23">
        <v>0.7291666666666666</v>
      </c>
      <c r="B41" s="21"/>
      <c r="C41" s="59"/>
      <c r="D41" s="28"/>
      <c r="E41" s="62"/>
      <c r="F41" s="28"/>
      <c r="G41" s="21"/>
      <c r="H41" s="20"/>
      <c r="I41" s="20"/>
      <c r="J41" s="20"/>
      <c r="K41" s="20"/>
      <c r="L41" s="20"/>
      <c r="M41" s="20"/>
      <c r="N41" s="20"/>
      <c r="O41" s="20"/>
      <c r="P41" s="20"/>
      <c r="Q41" s="20"/>
      <c r="R41" s="20"/>
      <c r="S41" s="20"/>
      <c r="T41" s="20"/>
      <c r="U41" s="20"/>
      <c r="V41" s="20"/>
      <c r="W41" s="20"/>
      <c r="X41" s="20"/>
      <c r="Y41" s="20"/>
      <c r="Z41" s="20"/>
    </row>
    <row r="42">
      <c r="A42" s="23">
        <v>0.7395833333333334</v>
      </c>
      <c r="B42" s="21"/>
      <c r="C42" s="21"/>
      <c r="D42" s="28"/>
      <c r="E42" s="63"/>
      <c r="F42" s="28"/>
      <c r="G42" s="21"/>
      <c r="H42" s="20"/>
      <c r="I42" s="20"/>
      <c r="J42" s="20"/>
      <c r="K42" s="20"/>
      <c r="L42" s="20"/>
      <c r="M42" s="20"/>
      <c r="N42" s="20"/>
      <c r="O42" s="20"/>
      <c r="P42" s="20"/>
      <c r="Q42" s="20"/>
      <c r="R42" s="20"/>
      <c r="S42" s="20"/>
      <c r="T42" s="20"/>
      <c r="U42" s="20"/>
      <c r="V42" s="20"/>
      <c r="W42" s="20"/>
      <c r="X42" s="20"/>
      <c r="Y42" s="20"/>
      <c r="Z42" s="20"/>
    </row>
    <row r="43">
      <c r="A43" s="23">
        <v>0.75</v>
      </c>
      <c r="B43" s="21"/>
      <c r="C43" s="64" t="s">
        <v>189</v>
      </c>
      <c r="D43" s="28"/>
      <c r="E43" s="65" t="s">
        <v>190</v>
      </c>
      <c r="F43" s="28"/>
      <c r="G43" s="21"/>
      <c r="H43" s="20"/>
      <c r="I43" s="20"/>
      <c r="J43" s="20"/>
      <c r="K43" s="20"/>
      <c r="L43" s="20"/>
      <c r="M43" s="20"/>
      <c r="N43" s="20"/>
      <c r="O43" s="20"/>
      <c r="P43" s="20"/>
      <c r="Q43" s="20"/>
      <c r="R43" s="20"/>
      <c r="S43" s="20"/>
      <c r="T43" s="20"/>
      <c r="U43" s="20"/>
      <c r="V43" s="20"/>
      <c r="W43" s="20"/>
      <c r="X43" s="20"/>
      <c r="Y43" s="20"/>
      <c r="Z43" s="20"/>
    </row>
    <row r="44">
      <c r="A44" s="23">
        <v>0.7604166666666666</v>
      </c>
      <c r="B44" s="21"/>
      <c r="C44" s="66"/>
      <c r="D44" s="28"/>
      <c r="E44" s="67"/>
      <c r="F44" s="28"/>
      <c r="G44" s="21"/>
      <c r="H44" s="20"/>
      <c r="I44" s="20"/>
      <c r="J44" s="20"/>
      <c r="K44" s="20"/>
      <c r="L44" s="20"/>
      <c r="M44" s="20"/>
      <c r="N44" s="20"/>
      <c r="O44" s="20"/>
      <c r="P44" s="20"/>
      <c r="Q44" s="20"/>
      <c r="R44" s="20"/>
      <c r="S44" s="20"/>
      <c r="T44" s="20"/>
      <c r="U44" s="20"/>
      <c r="V44" s="20"/>
      <c r="W44" s="20"/>
      <c r="X44" s="20"/>
      <c r="Y44" s="20"/>
      <c r="Z44" s="20"/>
    </row>
    <row r="45">
      <c r="A45" s="23">
        <v>0.7708333333333334</v>
      </c>
      <c r="B45" s="21"/>
      <c r="C45" s="66"/>
      <c r="D45" s="28"/>
      <c r="E45" s="67"/>
      <c r="F45" s="28"/>
      <c r="G45" s="21"/>
      <c r="H45" s="20"/>
      <c r="I45" s="20"/>
      <c r="J45" s="20"/>
      <c r="K45" s="20"/>
      <c r="L45" s="20"/>
      <c r="M45" s="20"/>
      <c r="N45" s="20"/>
      <c r="O45" s="20"/>
      <c r="P45" s="20"/>
      <c r="Q45" s="20"/>
      <c r="R45" s="20"/>
      <c r="S45" s="20"/>
      <c r="T45" s="20"/>
      <c r="U45" s="20"/>
      <c r="V45" s="20"/>
      <c r="W45" s="20"/>
      <c r="X45" s="20"/>
      <c r="Y45" s="20"/>
      <c r="Z45" s="20"/>
    </row>
    <row r="46">
      <c r="A46" s="23">
        <v>0.78125</v>
      </c>
      <c r="B46" s="21"/>
      <c r="C46" s="66"/>
      <c r="D46" s="32"/>
      <c r="E46" s="67"/>
      <c r="F46" s="32"/>
      <c r="G46" s="21"/>
      <c r="H46" s="20"/>
      <c r="I46" s="20"/>
      <c r="J46" s="20"/>
      <c r="K46" s="20"/>
      <c r="L46" s="20"/>
      <c r="M46" s="20"/>
      <c r="N46" s="20"/>
      <c r="O46" s="20"/>
      <c r="P46" s="20"/>
      <c r="Q46" s="20"/>
      <c r="R46" s="20"/>
      <c r="S46" s="20"/>
      <c r="T46" s="20"/>
      <c r="U46" s="20"/>
      <c r="V46" s="20"/>
      <c r="W46" s="20"/>
      <c r="X46" s="20"/>
      <c r="Y46" s="20"/>
      <c r="Z46" s="20"/>
    </row>
    <row r="47">
      <c r="A47" s="23">
        <v>0.7916666666666666</v>
      </c>
      <c r="B47" s="21"/>
      <c r="C47" s="66"/>
      <c r="D47" s="21"/>
      <c r="E47" s="67"/>
      <c r="F47" s="21"/>
      <c r="G47" s="21"/>
      <c r="H47" s="20"/>
      <c r="I47" s="20"/>
      <c r="J47" s="20"/>
      <c r="K47" s="20"/>
      <c r="L47" s="20"/>
      <c r="M47" s="20"/>
      <c r="N47" s="20"/>
      <c r="O47" s="20"/>
      <c r="P47" s="20"/>
      <c r="Q47" s="20"/>
      <c r="R47" s="20"/>
      <c r="S47" s="20"/>
      <c r="T47" s="20"/>
      <c r="U47" s="20"/>
      <c r="V47" s="20"/>
      <c r="W47" s="20"/>
      <c r="X47" s="20"/>
      <c r="Y47" s="20"/>
      <c r="Z47" s="20"/>
    </row>
    <row r="48">
      <c r="A48" s="23">
        <v>0.8020833333333334</v>
      </c>
      <c r="B48" s="21"/>
      <c r="C48" s="66"/>
      <c r="D48" s="21"/>
      <c r="E48" s="67"/>
      <c r="F48" s="21"/>
      <c r="G48" s="21"/>
      <c r="H48" s="20"/>
      <c r="I48" s="20"/>
      <c r="J48" s="20"/>
      <c r="K48" s="20"/>
      <c r="L48" s="20"/>
      <c r="M48" s="20"/>
      <c r="N48" s="20"/>
      <c r="O48" s="20"/>
      <c r="P48" s="20"/>
      <c r="Q48" s="20"/>
      <c r="R48" s="20"/>
      <c r="S48" s="20"/>
      <c r="T48" s="20"/>
      <c r="U48" s="20"/>
      <c r="V48" s="20"/>
      <c r="W48" s="20"/>
      <c r="X48" s="20"/>
      <c r="Y48" s="20"/>
      <c r="Z48" s="20"/>
    </row>
    <row r="49">
      <c r="A49" s="23">
        <v>0.8125</v>
      </c>
      <c r="B49" s="21"/>
      <c r="C49" s="66"/>
      <c r="D49" s="21"/>
      <c r="E49" s="67"/>
      <c r="F49" s="21"/>
      <c r="G49" s="21"/>
      <c r="H49" s="20"/>
      <c r="I49" s="20"/>
      <c r="J49" s="20"/>
      <c r="K49" s="20"/>
      <c r="L49" s="20"/>
      <c r="M49" s="20"/>
      <c r="N49" s="20"/>
      <c r="O49" s="20"/>
      <c r="P49" s="20"/>
      <c r="Q49" s="20"/>
      <c r="R49" s="20"/>
      <c r="S49" s="20"/>
      <c r="T49" s="20"/>
      <c r="U49" s="20"/>
      <c r="V49" s="20"/>
      <c r="W49" s="20"/>
      <c r="X49" s="20"/>
      <c r="Y49" s="20"/>
      <c r="Z49" s="20"/>
    </row>
    <row r="50">
      <c r="A50" s="23">
        <v>0.8229166666666666</v>
      </c>
      <c r="B50" s="21"/>
      <c r="C50" s="66"/>
      <c r="D50" s="21"/>
      <c r="E50" s="68"/>
      <c r="F50" s="21"/>
      <c r="G50" s="21"/>
      <c r="H50" s="20"/>
      <c r="I50" s="20"/>
      <c r="J50" s="20"/>
      <c r="K50" s="20"/>
      <c r="L50" s="20"/>
      <c r="M50" s="20"/>
      <c r="N50" s="20"/>
      <c r="O50" s="20"/>
      <c r="P50" s="20"/>
      <c r="Q50" s="20"/>
      <c r="R50" s="20"/>
      <c r="S50" s="20"/>
      <c r="T50" s="20"/>
      <c r="U50" s="20"/>
      <c r="V50" s="20"/>
      <c r="W50" s="20"/>
      <c r="X50" s="20"/>
      <c r="Y50" s="20"/>
      <c r="Z50" s="20"/>
    </row>
    <row r="51">
      <c r="A51" s="23">
        <v>0.8333333333333334</v>
      </c>
      <c r="B51" s="21"/>
      <c r="C51" s="49"/>
      <c r="D51" s="21"/>
      <c r="E51" s="21"/>
      <c r="F51" s="21"/>
      <c r="G51" s="21"/>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4"/>
  <legacyDrawing r:id="rId5"/>
</worksheet>
</file>